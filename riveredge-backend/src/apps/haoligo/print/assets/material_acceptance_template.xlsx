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53" activeTab="57"/>
  </bookViews>
  <sheets>
    <sheet name="基础信息" sheetId="1" r:id="rId1"/>
    <sheet name="验收单打印模板（新都）" sheetId="2" r:id="rId2"/>
    <sheet name="验收单打印模板（常胜）" sheetId="5" r:id="rId3"/>
    <sheet name="验收单打印模板（博能）" sheetId="7" r:id="rId4"/>
    <sheet name="验收单打印模板（烟台）" sheetId="9" r:id="rId5"/>
    <sheet name="验收单打印模板（海溪)" sheetId="14" r:id="rId6"/>
    <sheet name="验收单打印模板（成明)" sheetId="16" r:id="rId7"/>
    <sheet name="验收单打印模板（方惠)" sheetId="17" r:id="rId8"/>
    <sheet name="验收单打印模板（奕赟)" sheetId="18" r:id="rId9"/>
    <sheet name="验收单打印模板（千和)" sheetId="20" r:id="rId10"/>
    <sheet name="验收单打印模板（维斯科)" sheetId="21" r:id="rId11"/>
    <sheet name="验收单打印模板（顺昌)" sheetId="22" r:id="rId12"/>
    <sheet name="验收单打印模板（铜陵)" sheetId="23" r:id="rId13"/>
    <sheet name="验收单打印模板（亿鸣)" sheetId="24" r:id="rId14"/>
    <sheet name="验收单打印模板（森兴)" sheetId="25" r:id="rId15"/>
    <sheet name="验收单打印模板（杰亚特)" sheetId="26" r:id="rId16"/>
    <sheet name="验收单打印模板(双明）" sheetId="12" r:id="rId17"/>
    <sheet name="验收单打印模板（振歌)" sheetId="27" r:id="rId18"/>
    <sheet name="验收单打印模板（群力)" sheetId="28" r:id="rId19"/>
    <sheet name="验收单打印模板（神州)" sheetId="29" r:id="rId20"/>
    <sheet name="验收单打印模板（常达)" sheetId="30" r:id="rId21"/>
    <sheet name="验收单打印模板（快克)" sheetId="31" r:id="rId22"/>
    <sheet name="验收单打印模板（盛春)" sheetId="32" r:id="rId23"/>
    <sheet name="验收单打印模板（日顺爱邦)" sheetId="33" r:id="rId24"/>
    <sheet name="验收单打印模板（中炜)" sheetId="34" r:id="rId25"/>
    <sheet name="验收单打印模板（诗嘉模具)" sheetId="35" r:id="rId26"/>
    <sheet name="验收单打印模板（洛阳精湛)" sheetId="36" r:id="rId27"/>
    <sheet name="验收单打印模板（红旗)" sheetId="37" r:id="rId28"/>
    <sheet name="验收单打印模板（靖城弘帆)" sheetId="38" r:id="rId29"/>
    <sheet name="验收单打印模板（蓝腾机械)" sheetId="39" r:id="rId30"/>
    <sheet name="验收单打印模板（塑锋)" sheetId="40" r:id="rId31"/>
    <sheet name="验收单打印模板（洛阳塑奥)" sheetId="41" r:id="rId32"/>
    <sheet name="验收单打印模板（圣威朗)" sheetId="42" r:id="rId33"/>
    <sheet name="验收单打印模板（新信)" sheetId="43" r:id="rId34"/>
    <sheet name="验收单打印模板（震坤行)" sheetId="45" r:id="rId35"/>
    <sheet name="验收单打印模板（洛阳杰奥)" sheetId="47" r:id="rId36"/>
    <sheet name="验收单打印模板（桥博钢贸)" sheetId="46" r:id="rId37"/>
    <sheet name="验收单打印模板（洛阳梦非） (3)" sheetId="48" r:id="rId38"/>
    <sheet name="验收单打印模板（宏叶铝塑)" sheetId="49" r:id="rId39"/>
    <sheet name="验收单打印模板（亚华塑胶)" sheetId="50" r:id="rId40"/>
    <sheet name="验收单打印模板（丰锦硕五金)" sheetId="51" r:id="rId41"/>
    <sheet name="验收单打印模板（东桥明风)" sheetId="52" r:id="rId42"/>
    <sheet name="验收单打印模板（山北)" sheetId="53" r:id="rId43"/>
    <sheet name="验收单打印模板（迅塑)" sheetId="56" r:id="rId44"/>
    <sheet name="验收单打印模板（名铝)" sheetId="57" r:id="rId45"/>
    <sheet name="验收单打印模板（华士亿源)" sheetId="58" r:id="rId46"/>
    <sheet name="验收单打印模板（顺立)" sheetId="59" r:id="rId47"/>
    <sheet name="验收单打印模板（恒青盛)" sheetId="60" r:id="rId48"/>
    <sheet name="验收单打印模板（德奔)" sheetId="61" r:id="rId49"/>
    <sheet name="验收单打印模板（纯正)" sheetId="62" r:id="rId50"/>
    <sheet name="验收单打印模板（美利坚)" sheetId="63" r:id="rId51"/>
    <sheet name="验收单打印模板（仁公义)" sheetId="64" r:id="rId52"/>
    <sheet name="验收单打印模板（子航)" sheetId="65" r:id="rId53"/>
    <sheet name="验收单打印模板（祥汇昌)" sheetId="55" r:id="rId54"/>
    <sheet name="验收单打印模板（恒麒发)" sheetId="68" r:id="rId55"/>
    <sheet name="验收单打印模板（威力达利)" sheetId="70" r:id="rId56"/>
    <sheet name="验收单打印模板（浦邦）" sheetId="72" r:id="rId57"/>
    <sheet name="验收单打印模板（苏州恒发)" sheetId="73" r:id="rId58"/>
  </sheets>
  <definedNames>
    <definedName name="_xlnm._FilterDatabase" localSheetId="2" hidden="1">'验收单打印模板（常胜）'!$A$7:$H$18</definedName>
    <definedName name="_xlnm._FilterDatabase" localSheetId="3" hidden="1">'验收单打印模板（博能）'!$A$7:$H$21</definedName>
    <definedName name="_xlnm._FilterDatabase" localSheetId="55" hidden="1">'验收单打印模板（威力达利)'!$A$7:$H$18</definedName>
    <definedName name="_xlnm.Print_Titles" localSheetId="1">'验收单打印模板（新都）'!$1:$7</definedName>
    <definedName name="_xlnm.Print_Titles" localSheetId="2">'验收单打印模板（常胜）'!$1:$7</definedName>
    <definedName name="_xlnm.Print_Titles" localSheetId="3">'验收单打印模板（博能）'!$1:$7</definedName>
    <definedName name="_xlnm.Print_Titles" localSheetId="4">'验收单打印模板（烟台）'!$1:$7</definedName>
    <definedName name="_xlnm.Print_Titles" localSheetId="16">'验收单打印模板(双明）'!$1:$7</definedName>
    <definedName name="_xlnm.Print_Titles" localSheetId="5">'验收单打印模板（海溪)'!$1:$7</definedName>
    <definedName name="_xlnm.Print_Titles" localSheetId="6">'验收单打印模板（成明)'!$1:$7</definedName>
    <definedName name="_xlnm.Print_Titles" localSheetId="7">'验收单打印模板（方惠)'!$1:$7</definedName>
    <definedName name="_xlnm.Print_Titles" localSheetId="8">'验收单打印模板（奕赟)'!$1:$7</definedName>
    <definedName name="_xlnm.Print_Titles" localSheetId="9">'验收单打印模板（千和)'!$1:$7</definedName>
    <definedName name="_xlnm.Print_Titles" localSheetId="10">'验收单打印模板（维斯科)'!$1:$7</definedName>
    <definedName name="_xlnm.Print_Titles" localSheetId="11">'验收单打印模板（顺昌)'!$1:$7</definedName>
    <definedName name="_xlnm.Print_Titles" localSheetId="12">'验收单打印模板（铜陵)'!$1:$7</definedName>
    <definedName name="_xlnm.Print_Titles" localSheetId="13">'验收单打印模板（亿鸣)'!$1:$7</definedName>
    <definedName name="_xlnm.Print_Titles" localSheetId="14">'验收单打印模板（森兴)'!$1:$7</definedName>
    <definedName name="_xlnm.Print_Titles" localSheetId="15">'验收单打印模板（杰亚特)'!$1:$7</definedName>
    <definedName name="_xlnm.Print_Titles" localSheetId="17">'验收单打印模板（振歌)'!$1:$7</definedName>
    <definedName name="_xlnm.Print_Titles" localSheetId="18">'验收单打印模板（群力)'!$1:$7</definedName>
    <definedName name="_xlnm.Print_Titles" localSheetId="19">'验收单打印模板（神州)'!$1:$7</definedName>
    <definedName name="_xlnm.Print_Titles" localSheetId="20">'验收单打印模板（常达)'!$1:$7</definedName>
    <definedName name="_xlnm.Print_Titles" localSheetId="21">'验收单打印模板（快克)'!$1:$7</definedName>
    <definedName name="_xlnm.Print_Titles" localSheetId="22">'验收单打印模板（盛春)'!$1:$7</definedName>
    <definedName name="_xlnm.Print_Titles" localSheetId="23">'验收单打印模板（日顺爱邦)'!$1:$7</definedName>
    <definedName name="_xlnm.Print_Titles" localSheetId="24">'验收单打印模板（中炜)'!$1:$7</definedName>
    <definedName name="_xlnm.Print_Titles" localSheetId="25">'验收单打印模板（诗嘉模具)'!$1:$7</definedName>
    <definedName name="_xlnm.Print_Titles" localSheetId="26">'验收单打印模板（洛阳精湛)'!$1:$7</definedName>
    <definedName name="_xlnm.Print_Titles" localSheetId="27">'验收单打印模板（红旗)'!$1:$7</definedName>
    <definedName name="_xlnm.Print_Titles" localSheetId="28">'验收单打印模板（靖城弘帆)'!$1:$7</definedName>
    <definedName name="_xlnm.Print_Titles" localSheetId="29">'验收单打印模板（蓝腾机械)'!$1:$7</definedName>
    <definedName name="_xlnm.Print_Titles" localSheetId="30">'验收单打印模板（塑锋)'!$1:$7</definedName>
    <definedName name="_xlnm.Print_Titles" localSheetId="31">'验收单打印模板（洛阳塑奥)'!$1:$7</definedName>
    <definedName name="_xlnm.Print_Titles" localSheetId="32">'验收单打印模板（圣威朗)'!$1:$7</definedName>
    <definedName name="_xlnm.Print_Titles" localSheetId="33">'验收单打印模板（新信)'!$1:$7</definedName>
    <definedName name="_xlnm.Print_Titles" localSheetId="34">'验收单打印模板（震坤行)'!$1:$7</definedName>
    <definedName name="_xlnm.Print_Titles" localSheetId="36">'验收单打印模板（桥博钢贸)'!$1:$7</definedName>
    <definedName name="_xlnm.Print_Titles" localSheetId="35">'验收单打印模板（洛阳杰奥)'!$1:$7</definedName>
    <definedName name="_xlnm.Print_Titles" localSheetId="37">'验收单打印模板（洛阳梦非） (3)'!$1:$7</definedName>
    <definedName name="_xlnm.Print_Titles" localSheetId="38">'验收单打印模板（宏叶铝塑)'!$1:$7</definedName>
    <definedName name="_xlnm.Print_Titles" localSheetId="39">'验收单打印模板（亚华塑胶)'!$1:$7</definedName>
    <definedName name="_xlnm.Print_Titles" localSheetId="40">'验收单打印模板（丰锦硕五金)'!$1:$7</definedName>
    <definedName name="_xlnm.Print_Titles" localSheetId="41">'验收单打印模板（东桥明风)'!$1:$7</definedName>
    <definedName name="_xlnm.Print_Titles" localSheetId="42">'验收单打印模板（山北)'!$1:$7</definedName>
    <definedName name="_xlnm.Print_Titles" localSheetId="53">'验收单打印模板（祥汇昌)'!$1:$7</definedName>
    <definedName name="_xlnm.Print_Titles" localSheetId="43">'验收单打印模板（迅塑)'!$1:$7</definedName>
    <definedName name="_xlnm.Print_Titles" localSheetId="44">'验收单打印模板（名铝)'!$1:$7</definedName>
    <definedName name="_xlnm.Print_Titles" localSheetId="45">'验收单打印模板（华士亿源)'!$1:$7</definedName>
    <definedName name="_xlnm.Print_Titles" localSheetId="46">'验收单打印模板（顺立)'!$1:$7</definedName>
    <definedName name="_xlnm.Print_Titles" localSheetId="47">'验收单打印模板（恒青盛)'!$1:$7</definedName>
    <definedName name="_xlnm.Print_Titles" localSheetId="48">'验收单打印模板（德奔)'!$1:$7</definedName>
    <definedName name="_xlnm.Print_Titles" localSheetId="49">'验收单打印模板（纯正)'!$1:$7</definedName>
    <definedName name="_xlnm.Print_Titles" localSheetId="50">'验收单打印模板（美利坚)'!$1:$7</definedName>
    <definedName name="_xlnm.Print_Titles" localSheetId="51">'验收单打印模板（仁公义)'!$1:$7</definedName>
    <definedName name="_xlnm.Print_Titles" localSheetId="52">'验收单打印模板（子航)'!$1:$7</definedName>
    <definedName name="_xlnm.Print_Titles" localSheetId="54">'验收单打印模板（恒麒发)'!$1:$7</definedName>
    <definedName name="_xlnm.Print_Titles" localSheetId="55">'验收单打印模板（威力达利)'!$1:$7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<sst xmlns="http://schemas.openxmlformats.org/spreadsheetml/2006/main" count="2380" uniqueCount="372">
  <si>
    <t>人员姓名</t>
  </si>
  <si>
    <t>供应商名称</t>
  </si>
  <si>
    <t>郑雅婷</t>
  </si>
  <si>
    <t>宁波同业物资贸易有限公司</t>
  </si>
  <si>
    <t>无锡市长虹化塑色粒有限公司</t>
  </si>
  <si>
    <t>铜陵精迅特种漆包线有限责任公司</t>
  </si>
  <si>
    <t>无锡市东塑贸易有限公司</t>
  </si>
  <si>
    <t>苏州市吴江神州双金属线缆有限公司</t>
  </si>
  <si>
    <t>常州新都电子有限公司</t>
  </si>
  <si>
    <t>上海奕赟工业材料有限公司</t>
  </si>
  <si>
    <t>烟台双菱电工材料有限公司</t>
  </si>
  <si>
    <t>宜兴诺伏电工材料有限公司</t>
  </si>
  <si>
    <t>三星电子(苏州工厂）</t>
  </si>
  <si>
    <t>苏州第一化工有限公司</t>
  </si>
  <si>
    <t>苏州杰楷材料科技有限公司</t>
  </si>
  <si>
    <t>奉化恒益微型轴有限公司</t>
  </si>
  <si>
    <t>常州市孟墅电器有限公司</t>
  </si>
  <si>
    <t>乐清市方惠继电器配件厂</t>
  </si>
  <si>
    <t>无锡市陆区兴宇包装厂</t>
  </si>
  <si>
    <t>常州恒泰包装有限公司</t>
  </si>
  <si>
    <t>无锡市群力有色金属材料有限公司</t>
  </si>
  <si>
    <t>深圳市埃科润滑材料有限公司</t>
  </si>
  <si>
    <t>徐州通用高新磁电有限公司</t>
  </si>
  <si>
    <t>海安巨力磁材有限责任公司</t>
  </si>
  <si>
    <t>无锡腾达电泳涂装有限公司</t>
  </si>
  <si>
    <t>常州格瑞特粉末冶金有限公司</t>
  </si>
  <si>
    <t>苏州渝沪电子材料有限公司</t>
  </si>
  <si>
    <t>盐城恒明弹簧有限公司</t>
  </si>
  <si>
    <t>宜兴市森兴橡塑制品有限公司</t>
  </si>
  <si>
    <t>武汉奔威机电设备有限公司</t>
  </si>
  <si>
    <t>江苏常胜电器股份有限公司</t>
  </si>
  <si>
    <t>无锡市惠山区顺昌绝缘塑料五金厂</t>
  </si>
  <si>
    <t>广州鑫洲泰实业有限责任公司</t>
  </si>
  <si>
    <t>溧阳市伟航电子新材料有限公司</t>
  </si>
  <si>
    <t>常州时利电子有限公司</t>
  </si>
  <si>
    <t>浙江成明电子科技有限公司</t>
  </si>
  <si>
    <t>中山市森宝电线有限公司</t>
  </si>
  <si>
    <t>无锡华昊电器有限公司</t>
  </si>
  <si>
    <t>安徽都邦电器有限公司</t>
  </si>
  <si>
    <t>江苏华旺新材料有限公司</t>
  </si>
  <si>
    <t>常州倍科电器有限公司</t>
  </si>
  <si>
    <t>诸暨市动力弹簧厂</t>
  </si>
  <si>
    <t>奉化市联顺微型轴厂</t>
  </si>
  <si>
    <t>苏州龙欣橡塑制品有限公司</t>
  </si>
  <si>
    <t>福州市辰亿五金制造有限公司</t>
  </si>
  <si>
    <t>常州金大昱粉末冶金有限公司</t>
  </si>
  <si>
    <t>昌邑市永富弹簧有限公司</t>
  </si>
  <si>
    <t>南禧电子（南京）有限公司</t>
  </si>
  <si>
    <t>海门市鼎丰五金制品有限公司</t>
  </si>
  <si>
    <t>常州市常达电器有限公司</t>
  </si>
  <si>
    <t>宁波索普橡塑有限公司</t>
  </si>
  <si>
    <t>佳施加德士（苏州）塑料有限公司</t>
  </si>
  <si>
    <t>上海仕天工程塑料有限公司</t>
  </si>
  <si>
    <t>苏州胜达橡胶制品有限公司</t>
  </si>
  <si>
    <t>深圳超润达科技有限公司</t>
  </si>
  <si>
    <t>广东聚石化学股份有限公司</t>
  </si>
  <si>
    <t>苏州东腾电子科技有限公司</t>
  </si>
  <si>
    <t>常州市盛春机电配件有限公司</t>
  </si>
  <si>
    <t>常州市蓝丰天创塑料有限公司</t>
  </si>
  <si>
    <t>苏州天配精密五金弹簧有限公司</t>
  </si>
  <si>
    <t>江阴徐达汽配有限公司</t>
  </si>
  <si>
    <t>无锡市正峰特种印刷有限公司</t>
  </si>
  <si>
    <t>宁波万机轴业有限公司</t>
  </si>
  <si>
    <t>无锡京沪标准件有限公司</t>
  </si>
  <si>
    <t>江西博能上饶线材有限公司</t>
  </si>
  <si>
    <t>广州市中特电材有限公司</t>
  </si>
  <si>
    <t>上海致颂电线电缆有限公司</t>
  </si>
  <si>
    <t>常州市赛伦斯电子科技有限公司</t>
  </si>
  <si>
    <t>无锡浙双物资发展有限公司</t>
  </si>
  <si>
    <t>浙江韦氏电器有限公司</t>
  </si>
  <si>
    <t>常州贝宁模塑科技有限公司</t>
  </si>
  <si>
    <t>常州市飞泰化工有限公司</t>
  </si>
  <si>
    <t>宣城市亿鸣科技有限公司</t>
  </si>
  <si>
    <t>快克智能装备股份有限公司</t>
  </si>
  <si>
    <t>深圳市中炜锡业有限公司</t>
  </si>
  <si>
    <t>无锡海溪机电贸易有限公司</t>
  </si>
  <si>
    <t>江阴六环合金线有限公司</t>
  </si>
  <si>
    <t>无锡市森宝电线有限公司</t>
  </si>
  <si>
    <t>无锡杰亚特电子有限公司</t>
  </si>
  <si>
    <t>南通市德美电机玻璃纤维有限公司</t>
  </si>
  <si>
    <t>深圳中炜锡业有限公司</t>
  </si>
  <si>
    <t>杭州千和精密机械有限公司</t>
  </si>
  <si>
    <t>无锡维斯科建材有限公司</t>
  </si>
  <si>
    <t>无锡双明包装机械有限公司</t>
  </si>
  <si>
    <t>无锡市振歌物资有限公司</t>
  </si>
  <si>
    <t>无锡日顺机电有限公司</t>
  </si>
  <si>
    <t>无锡诗嘉精密模具有限公司</t>
  </si>
  <si>
    <t>常州市武进区洛阳精湛模塑厂</t>
  </si>
  <si>
    <t>红旗集团江西铜业有限公司</t>
  </si>
  <si>
    <t>靖江市靖城弘帆塑料制品厂</t>
  </si>
  <si>
    <t>常州蓝腾机械制造有限公司</t>
  </si>
  <si>
    <t>武进区洛阳塑锋精密模具厂</t>
  </si>
  <si>
    <t>武进区洛阳塑奥模具厂</t>
  </si>
  <si>
    <t>无锡圣威朗门窗有限公司</t>
  </si>
  <si>
    <t>无锡新信合金属材料有限公司</t>
  </si>
  <si>
    <t>震坤行工业超市（上海）有限公司</t>
  </si>
  <si>
    <t>江阴市桥博钢贸有限公司</t>
  </si>
  <si>
    <t>武进区洛阳杰奥模具厂</t>
  </si>
  <si>
    <t>武进区洛阳梦非模具厂</t>
  </si>
  <si>
    <t>湖州宏叶铝塑材料有限公司</t>
  </si>
  <si>
    <t>江阴市亚华塑胶有限公司</t>
  </si>
  <si>
    <t>无锡丰锦硕五金机电有限公司</t>
  </si>
  <si>
    <t>苏州市相城区东桥明风模具厂</t>
  </si>
  <si>
    <t>无锡市山北安全滑触线有限公司</t>
  </si>
  <si>
    <t>无锡市祥汇昌金属材料有限公司</t>
  </si>
  <si>
    <t>无锡迅塑科技有限公司</t>
  </si>
  <si>
    <t>无锡名铝亚联铝业科技有限公司</t>
  </si>
  <si>
    <t>江阴市华士亿源塑料制品厂</t>
  </si>
  <si>
    <t>江阴市顺立塑胶有限公司</t>
  </si>
  <si>
    <t>常州市恒青盛机械有限公司</t>
  </si>
  <si>
    <t>宁波德奔机电设备有限公司</t>
  </si>
  <si>
    <t>纯正材料科技（苏州）有限公司</t>
  </si>
  <si>
    <t>苏州美利坚润滑油有限公司</t>
  </si>
  <si>
    <t>无锡市仁公义商贸有限公司</t>
  </si>
  <si>
    <t>惠山区阳山镇子航模具加工厂</t>
  </si>
  <si>
    <t>苏州恒麒发自动化配件有限公司</t>
  </si>
  <si>
    <t>无锡市威力达利商贸有限公司</t>
  </si>
  <si>
    <t>苏州恒发传动设备有限公司</t>
  </si>
  <si>
    <t xml:space="preserve">                  无锡好力泵业有限公司</t>
  </si>
  <si>
    <t xml:space="preserve">                              江苏省无锡市惠山区阳山镇人民西路</t>
  </si>
  <si>
    <t xml:space="preserve">             材 料 验 收 单</t>
  </si>
  <si>
    <t>发票号：04587321-04587325</t>
  </si>
  <si>
    <t>制单人员:</t>
  </si>
  <si>
    <t>供应商名称:</t>
  </si>
  <si>
    <t>制单日期:</t>
  </si>
  <si>
    <t>序号</t>
  </si>
  <si>
    <t>物料编码</t>
  </si>
  <si>
    <t>产品名称及规格</t>
  </si>
  <si>
    <t>送货数量</t>
  </si>
  <si>
    <t>单位</t>
  </si>
  <si>
    <t>不含税单价</t>
  </si>
  <si>
    <t>金额</t>
  </si>
  <si>
    <t xml:space="preserve"> 备注</t>
  </si>
  <si>
    <t>1</t>
  </si>
  <si>
    <t>保护器130°</t>
  </si>
  <si>
    <t>只</t>
  </si>
  <si>
    <t>2</t>
  </si>
  <si>
    <t>保护器85°</t>
  </si>
  <si>
    <t>3</t>
  </si>
  <si>
    <t>保护器125°</t>
  </si>
  <si>
    <t>4</t>
  </si>
  <si>
    <t>保护器125°塑壳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</si>
  <si>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</si>
  <si>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</si>
  <si>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</si>
  <si>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</si>
  <si>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</si>
  <si>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</si>
  <si>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</si>
  <si>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</si>
  <si>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</si>
  <si>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</si>
  <si>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金额合计（大写）:</t>
  </si>
  <si>
    <t>小写金额：</t>
  </si>
  <si>
    <t>备    注：</t>
  </si>
  <si>
    <t>验票人签字：郑雅婷</t>
  </si>
  <si>
    <t xml:space="preserve">                    无锡好力泵业有限公司</t>
  </si>
  <si>
    <t xml:space="preserve">                                 江苏省无锡市惠山区阳山镇人民西路</t>
  </si>
  <si>
    <t xml:space="preserve">            材 料 验 收 单</t>
  </si>
  <si>
    <t>发票号：01239687</t>
  </si>
  <si>
    <t>验票人签字：</t>
  </si>
  <si>
    <t>发票号：05758511</t>
  </si>
  <si>
    <t>铝线0.52</t>
  </si>
  <si>
    <t>kg</t>
  </si>
  <si>
    <t>铝线0.25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</si>
  <si>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14968995-14968998</t>
    </r>
  </si>
  <si>
    <t>漆包线0.23</t>
  </si>
  <si>
    <t>漆包线0.25</t>
  </si>
  <si>
    <t>漆包线0.12</t>
  </si>
  <si>
    <t>铜线0.12</t>
  </si>
  <si>
    <t>漆包线35QA0.25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</si>
  <si>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73652720</t>
    </r>
  </si>
  <si>
    <t>电源线1569橙</t>
  </si>
  <si>
    <t>米</t>
  </si>
  <si>
    <t>电源线1569浅蓝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</si>
  <si>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11258582</t>
    </r>
  </si>
  <si>
    <t>焊接端子05</t>
  </si>
  <si>
    <t>片</t>
  </si>
  <si>
    <t>接线片16</t>
  </si>
  <si>
    <t>接线片17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</si>
  <si>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12054831</t>
    </r>
  </si>
  <si>
    <t>金属、硬质合金用模具*插针01</t>
  </si>
  <si>
    <t>套</t>
  </si>
  <si>
    <t>金属、硬质合金用模具*插针02</t>
  </si>
  <si>
    <t>金属、硬质合金用模具*插针03</t>
  </si>
  <si>
    <t>金属、硬质合金用模具*插针04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</si>
  <si>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41252120</t>
    </r>
  </si>
  <si>
    <t>玻璃布胶带29*30</t>
  </si>
  <si>
    <t>卷</t>
  </si>
  <si>
    <t>玻璃布胶带27*30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</si>
  <si>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27757646</t>
    </r>
  </si>
  <si>
    <t>羊毛毡28*10*5</t>
  </si>
  <si>
    <t>个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</si>
  <si>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68220351</t>
    </r>
  </si>
  <si>
    <t>pvc电工管20</t>
  </si>
  <si>
    <t>pvc电工管25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</si>
  <si>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52522067</t>
    </r>
  </si>
  <si>
    <t>聚乙烯玻纤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</si>
  <si>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11660084</t>
    </r>
  </si>
  <si>
    <t>漆包圆铝线0.52</t>
  </si>
  <si>
    <t>公斤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</si>
  <si>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01975846</t>
    </r>
  </si>
  <si>
    <t>倍科线束685MM</t>
  </si>
  <si>
    <t>发票号：30749394</t>
  </si>
  <si>
    <t>橡胶圈8.5*1.65</t>
  </si>
  <si>
    <r>
      <rPr>
        <sz val="11"/>
        <color theme="1"/>
        <rFont val="宋体"/>
        <charset val="134"/>
      </rPr>
      <t>发票号：</t>
    </r>
    <r>
      <rPr>
        <u/>
        <sz val="11"/>
        <color theme="1"/>
        <rFont val="宋体"/>
        <charset val="134"/>
      </rPr>
      <t>32506661</t>
    </r>
  </si>
  <si>
    <t>热缩管</t>
  </si>
  <si>
    <t>发票号：72922915</t>
  </si>
  <si>
    <t>110PPR管</t>
  </si>
  <si>
    <t>90PPR管</t>
  </si>
  <si>
    <t>75PPR管</t>
  </si>
  <si>
    <t>50PPR管</t>
  </si>
  <si>
    <t>110弯头</t>
  </si>
  <si>
    <t>110直接</t>
  </si>
  <si>
    <t>90外丝直接</t>
  </si>
  <si>
    <t>发票号：4584080071</t>
  </si>
  <si>
    <t>电线电缆*电缆YJV22-8.7/15KV</t>
  </si>
  <si>
    <t>.</t>
  </si>
  <si>
    <t>发票号：03685443</t>
  </si>
  <si>
    <t>焊锡丝</t>
  </si>
  <si>
    <t>发票号：03647341</t>
  </si>
  <si>
    <t>发票号：01757548</t>
  </si>
  <si>
    <t>发票号：04980781</t>
  </si>
  <si>
    <t>焊咀911-30PC</t>
  </si>
  <si>
    <t>焊咀960-3.2D</t>
  </si>
  <si>
    <t>发票号：13877518</t>
  </si>
  <si>
    <t>发票号：05593546</t>
  </si>
  <si>
    <t>绝缘电线UL3478</t>
  </si>
  <si>
    <t>发票号：08351796</t>
  </si>
  <si>
    <t>发票号：5090628481</t>
  </si>
  <si>
    <t>模具*海尔泵体</t>
  </si>
  <si>
    <t>副</t>
  </si>
  <si>
    <t>备</t>
  </si>
  <si>
    <t>模具*15大后启动支架（无水箱）</t>
  </si>
  <si>
    <t>新</t>
  </si>
  <si>
    <t xml:space="preserve"> </t>
  </si>
  <si>
    <t>发票号：5056301611</t>
  </si>
  <si>
    <t>模具*BLDC泵体（LG)</t>
  </si>
  <si>
    <t>模具*743B泵体</t>
  </si>
  <si>
    <t>发票号：06919910</t>
  </si>
  <si>
    <t>漆包线铜线0.23</t>
  </si>
  <si>
    <t>发票号：27894024/27903697</t>
  </si>
  <si>
    <t>模具*80W一体机线包</t>
  </si>
  <si>
    <t>备模</t>
  </si>
  <si>
    <t>发票号：4094220991</t>
  </si>
  <si>
    <t>模具*三星20骨架</t>
  </si>
  <si>
    <t>模具*3410直六片叶轮</t>
  </si>
  <si>
    <t>新模</t>
  </si>
  <si>
    <t>模具*20BSH电阻焊防水罩</t>
  </si>
  <si>
    <t>模具*20BSH电阻焊塑封骨架</t>
  </si>
  <si>
    <t>模具*干衣机压片</t>
  </si>
  <si>
    <t>模具*小天鹅侧边泵过滤塞02</t>
  </si>
  <si>
    <t>模具*34方片叶轮</t>
  </si>
  <si>
    <t>发票号：07492911</t>
  </si>
  <si>
    <t>其他机械设备*二次注塑夹爪优力胶</t>
  </si>
  <si>
    <t>发票号：4994302831</t>
  </si>
  <si>
    <t>模具*海尔电阻焊插片座</t>
  </si>
  <si>
    <t>发票号：32141278</t>
  </si>
  <si>
    <t>*有色金属延压材铝型材</t>
  </si>
  <si>
    <t>吨</t>
  </si>
  <si>
    <t>发票号：62620887</t>
  </si>
  <si>
    <t>镀锌管</t>
  </si>
  <si>
    <t>发票号：54932096</t>
  </si>
  <si>
    <t>800g涤棉纱线手套</t>
  </si>
  <si>
    <t>打</t>
  </si>
  <si>
    <t>发票号：10556655-10556656</t>
  </si>
  <si>
    <t>镀锌槽钢</t>
  </si>
  <si>
    <t>发票号：12769406</t>
  </si>
  <si>
    <t>模具*直条BLDC骨架（28W）</t>
  </si>
  <si>
    <t>模具*小天鹅侧边泵过滤塞</t>
  </si>
  <si>
    <t>模具*土耳其线包（新结构）</t>
  </si>
  <si>
    <t>发票号：91725967</t>
  </si>
  <si>
    <t>铝型材</t>
  </si>
  <si>
    <t>发票号：43430410</t>
  </si>
  <si>
    <t>塑料制品*UPVC管Φ50</t>
  </si>
  <si>
    <t>支</t>
  </si>
  <si>
    <t>塑料制品*UPVC管Φ75</t>
  </si>
  <si>
    <t>塑料制品*UPVC管Φ110</t>
  </si>
  <si>
    <t>塑料制品*UPVC管Φ160</t>
  </si>
  <si>
    <t>塑料制品*UPVC管Φ110弯头</t>
  </si>
  <si>
    <t>塑料制品*UPVC管Φ110*75三通</t>
  </si>
  <si>
    <t>塑料制品*UPVC管Φ75弯头</t>
  </si>
  <si>
    <t>塑料制品*UPVC管Φ75直接</t>
  </si>
  <si>
    <t>塑料制品*UPVC管Φ160弯头</t>
  </si>
  <si>
    <t>塑料制品*UPVC管Φ160三通</t>
  </si>
  <si>
    <t>塑料制品*UPVC管Φ160*110三通</t>
  </si>
  <si>
    <t>塑料制品*UPVC管Φ50弯头</t>
  </si>
  <si>
    <t>塑料制品*UPVC管Φ110三通</t>
  </si>
  <si>
    <t>发票号：68250153</t>
  </si>
  <si>
    <t>电缆*BVR1*120</t>
  </si>
  <si>
    <t>电缆*BVR1*16</t>
  </si>
  <si>
    <t>电缆*BVR1*35</t>
  </si>
  <si>
    <t>电缆*BVR1*6</t>
  </si>
  <si>
    <t>电缆*BVR1*4</t>
  </si>
  <si>
    <t>电缆*BVR1*2.5</t>
  </si>
  <si>
    <t>电缆*YZ 3*2.5</t>
  </si>
  <si>
    <t>电缆*YZ 2*2.5</t>
  </si>
  <si>
    <t>发票号：80237736</t>
  </si>
  <si>
    <t>模具*D63.5一出四模具换刃口</t>
  </si>
  <si>
    <t>付</t>
  </si>
  <si>
    <t>发票号：77219427、77219428</t>
  </si>
  <si>
    <t>动力母线DNM-A-800A</t>
  </si>
  <si>
    <t>动力母线DNM-A-630A</t>
  </si>
  <si>
    <t>动力母线DNM-A-400A</t>
  </si>
  <si>
    <t>动力母线DNM-A-320A</t>
  </si>
  <si>
    <t>动力母线DNM-A-250A</t>
  </si>
  <si>
    <t>动力母线DNM-A-200A</t>
  </si>
  <si>
    <t>动力母线DNM-A-160A</t>
  </si>
  <si>
    <t>配电控制设备*弯通800A-400A</t>
  </si>
  <si>
    <t>配电控制设备*弯通160A</t>
  </si>
  <si>
    <t>配电控制设备*三通800A-200A</t>
  </si>
  <si>
    <t>配电控制设备*三通320A-160A</t>
  </si>
  <si>
    <t>建筑服务*安装费</t>
  </si>
  <si>
    <t>发票号：42749556</t>
  </si>
  <si>
    <t>白油460#18L</t>
  </si>
  <si>
    <t>桶</t>
  </si>
  <si>
    <t>白油46#（200L）</t>
  </si>
  <si>
    <t>发票号：14890741</t>
  </si>
  <si>
    <t>有色金属延压材*铝材</t>
  </si>
  <si>
    <t>发票号：51592253</t>
  </si>
  <si>
    <t>塑料制品*PP-R管材25</t>
  </si>
  <si>
    <t>塑料制品*PP-R管材32</t>
  </si>
  <si>
    <t>塑料制品*PP-R管件32弯头</t>
  </si>
  <si>
    <t>塑料制品*PP-R管件32直接</t>
  </si>
  <si>
    <t>塑料制品*PP-R管件25弯头</t>
  </si>
  <si>
    <t>塑料制品*PP-R管件25直接</t>
  </si>
  <si>
    <t>塑料制品*PP-R管件25三通</t>
  </si>
  <si>
    <t>塑料制品*PP-R管件32x25三通</t>
  </si>
  <si>
    <t>塑料制品*PP-R管材50</t>
  </si>
  <si>
    <t>塑料制品*PP-R管材63</t>
  </si>
  <si>
    <t>塑料制品*PP-R管件50直接</t>
  </si>
  <si>
    <t>塑料制品*PP-R管件63直接</t>
  </si>
  <si>
    <t>发票号：91650268</t>
  </si>
  <si>
    <t>塑料制品*PVC管材110</t>
  </si>
  <si>
    <t>塑料制品*PVC管材75</t>
  </si>
  <si>
    <t>塑料制品*PVC管材160</t>
  </si>
  <si>
    <t>塑料制品*PVC管材110弯头</t>
  </si>
  <si>
    <t>塑料制品*PVC管材75直接</t>
  </si>
  <si>
    <t>塑料制品*PVC管材110三通</t>
  </si>
  <si>
    <t>发票号：110653115</t>
  </si>
  <si>
    <t>金属制品*T1.2镀锌板</t>
  </si>
  <si>
    <t>件</t>
  </si>
  <si>
    <t>金属制品*T60*600*1250</t>
  </si>
  <si>
    <t>金属制品*端滚筒隔垫板</t>
  </si>
  <si>
    <t>发票号：03189970</t>
  </si>
  <si>
    <t>液压油</t>
  </si>
  <si>
    <t>发票号：495024030</t>
  </si>
  <si>
    <t>黑色金属*方钢 16*16*1050</t>
  </si>
  <si>
    <t>发票号：25458980</t>
  </si>
  <si>
    <t>工业白油（II）68号</t>
  </si>
  <si>
    <t>工业白油8号</t>
  </si>
  <si>
    <t>发票号：57182713</t>
  </si>
  <si>
    <t>化学合成材料*调制粘合剂</t>
  </si>
  <si>
    <t>发票号：02618059</t>
  </si>
  <si>
    <t>模具*水泵铁芯铆合工装</t>
  </si>
  <si>
    <t>批</t>
  </si>
  <si>
    <t>发票号：81691662</t>
  </si>
  <si>
    <t>镀锌板1.0*1000*2000</t>
  </si>
  <si>
    <t>镀锌板1.0*1250*2500</t>
  </si>
  <si>
    <t>方矩管20-200</t>
  </si>
  <si>
    <t>发票号：258658749</t>
  </si>
  <si>
    <t>金属制品*角件</t>
  </si>
  <si>
    <t>有色金属压延材*铝材</t>
  </si>
  <si>
    <t>发票号：349697622</t>
  </si>
  <si>
    <t>金属制品配件一批</t>
  </si>
  <si>
    <t>详见附件</t>
  </si>
  <si>
    <t xml:space="preserve">               江苏省无锡市惠山区阳山镇人民西路</t>
  </si>
  <si>
    <t xml:space="preserve">                    材 料 验 收 单</t>
  </si>
  <si>
    <t>发票号：520069371</t>
  </si>
  <si>
    <t>D63.5-出四模具换刃口</t>
  </si>
  <si>
    <t>发票号：4780331551</t>
  </si>
  <si>
    <t>铝材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</si>
</sst>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00_ "/>
    <numFmt numFmtId="178" formatCode="0.00000_ "/>
    <numFmt numFmtId="179" formatCode="[DBNum2][$RMB]General;[Red][DBNum2][$RMB]General"/>
    <numFmt numFmtId="180" formatCode="0.00_ "/>
    <numFmt numFmtId="181" formatCode="yyyy&quot;年&quot;m&quot;月&quot;d&quot;日&quot;;@"/>
    <numFmt numFmtId="182" formatCode="0_ "/>
    <numFmt numFmtId="183" formatCode="0.000000_ "/>
  </numFmts>
  <fonts count="3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0"/>
      <color rgb="FF000000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9"/>
      <color indexed="8"/>
      <name val="Courier New"/>
      <charset val="0"/>
    </font>
    <font>
      <sz val="9"/>
      <color indexed="8"/>
      <name val="宋体"/>
      <charset val="0"/>
    </font>
    <font>
      <sz val="10"/>
      <color theme="1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u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6" borderId="24" applyNumberFormat="0" applyAlignment="0" applyProtection="0">
      <alignment vertical="center"/>
    </xf>
    <xf numFmtId="0" fontId="28" fillId="6" borderId="23" applyNumberFormat="0" applyAlignment="0" applyProtection="0">
      <alignment vertical="center"/>
    </xf>
    <xf numFmtId="0" fontId="29" fillId="7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0" borderId="0" applyBorder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shrinkToFit="1"/>
    </xf>
    <xf numFmtId="0" fontId="0" fillId="0" borderId="0" xfId="0" applyFont="1" applyFill="1" applyAlignment="1">
      <alignment horizontal="center" vertical="center" shrinkToFit="1"/>
    </xf>
    <xf numFmtId="0" fontId="2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vertical="center" wrapText="1" shrinkToFit="1"/>
    </xf>
    <xf numFmtId="0" fontId="0" fillId="0" borderId="0" xfId="0" applyFill="1" applyAlignment="1">
      <alignment vertical="center" shrinkToFit="1"/>
    </xf>
    <xf numFmtId="0" fontId="4" fillId="0" borderId="0" xfId="0" applyFont="1" applyFill="1" applyAlignment="1">
      <alignment horizontal="center" vertical="center" shrinkToFit="1"/>
    </xf>
    <xf numFmtId="0" fontId="5" fillId="0" borderId="0" xfId="49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right" vertical="center" shrinkToFit="1"/>
    </xf>
    <xf numFmtId="176" fontId="4" fillId="0" borderId="0" xfId="0" applyNumberFormat="1" applyFont="1" applyFill="1" applyAlignment="1">
      <alignment horizontal="left" vertical="center" shrinkToFit="1"/>
    </xf>
    <xf numFmtId="14" fontId="4" fillId="0" borderId="0" xfId="0" applyNumberFormat="1" applyFont="1" applyFill="1" applyAlignment="1">
      <alignment horizontal="left" vertical="center" shrinkToFit="1"/>
    </xf>
    <xf numFmtId="176" fontId="4" fillId="0" borderId="0" xfId="0" applyNumberFormat="1" applyFont="1" applyFill="1" applyAlignment="1">
      <alignment horizontal="right" vertical="center" shrinkToFit="1"/>
    </xf>
    <xf numFmtId="14" fontId="4" fillId="0" borderId="0" xfId="0" applyNumberFormat="1" applyFont="1" applyFill="1" applyAlignment="1">
      <alignment horizontal="right" vertical="center" shrinkToFit="1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center" vertical="center"/>
    </xf>
    <xf numFmtId="49" fontId="6" fillId="0" borderId="3" xfId="0" applyNumberFormat="1" applyFont="1" applyFill="1" applyBorder="1" applyAlignment="1" applyProtection="1">
      <alignment horizontal="center" vertical="center"/>
    </xf>
    <xf numFmtId="49" fontId="6" fillId="0" borderId="4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 shrinkToFit="1"/>
    </xf>
    <xf numFmtId="0" fontId="8" fillId="0" borderId="6" xfId="0" applyNumberFormat="1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>
      <alignment vertical="center"/>
    </xf>
    <xf numFmtId="178" fontId="8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vertical="center" shrinkToFit="1"/>
    </xf>
    <xf numFmtId="179" fontId="4" fillId="0" borderId="7" xfId="0" applyNumberFormat="1" applyFont="1" applyFill="1" applyBorder="1" applyAlignment="1">
      <alignment horizontal="left" vertical="center" shrinkToFit="1"/>
    </xf>
    <xf numFmtId="179" fontId="4" fillId="0" borderId="8" xfId="0" applyNumberFormat="1" applyFont="1" applyFill="1" applyBorder="1" applyAlignment="1">
      <alignment horizontal="left" vertical="center" shrinkToFit="1"/>
    </xf>
    <xf numFmtId="179" fontId="4" fillId="0" borderId="9" xfId="0" applyNumberFormat="1" applyFont="1" applyFill="1" applyBorder="1" applyAlignment="1">
      <alignment vertical="center" shrinkToFit="1"/>
    </xf>
    <xf numFmtId="8" fontId="4" fillId="0" borderId="7" xfId="0" applyNumberFormat="1" applyFont="1" applyFill="1" applyBorder="1" applyAlignment="1">
      <alignment horizontal="left" vertical="center" shrinkToFit="1"/>
    </xf>
    <xf numFmtId="8" fontId="4" fillId="0" borderId="10" xfId="0" applyNumberFormat="1" applyFont="1" applyFill="1" applyBorder="1" applyAlignment="1">
      <alignment horizontal="left" vertical="center" shrinkToFit="1"/>
    </xf>
    <xf numFmtId="0" fontId="9" fillId="0" borderId="11" xfId="0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 applyProtection="1">
      <alignment horizontal="center" vertical="center"/>
    </xf>
    <xf numFmtId="31" fontId="9" fillId="0" borderId="13" xfId="0" applyNumberFormat="1" applyFont="1" applyFill="1" applyBorder="1" applyAlignment="1" applyProtection="1">
      <alignment horizontal="center" vertical="center"/>
    </xf>
    <xf numFmtId="31" fontId="9" fillId="0" borderId="14" xfId="0" applyNumberFormat="1" applyFont="1" applyFill="1" applyBorder="1" applyAlignment="1" applyProtection="1">
      <alignment horizontal="center" vertical="center"/>
    </xf>
    <xf numFmtId="31" fontId="9" fillId="0" borderId="15" xfId="0" applyNumberFormat="1" applyFont="1" applyFill="1" applyBorder="1" applyAlignment="1" applyProtection="1">
      <alignment horizontal="center" vertical="center"/>
    </xf>
    <xf numFmtId="31" fontId="9" fillId="0" borderId="13" xfId="0" applyNumberFormat="1" applyFont="1" applyFill="1" applyBorder="1" applyAlignment="1" applyProtection="1">
      <alignment horizontal="left" vertical="center"/>
    </xf>
    <xf numFmtId="31" fontId="9" fillId="0" borderId="16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0" fontId="10" fillId="0" borderId="0" xfId="0" applyFont="1" applyFill="1" applyAlignment="1">
      <alignment vertical="center" shrinkToFit="1"/>
    </xf>
    <xf numFmtId="0" fontId="11" fillId="0" borderId="0" xfId="0" applyFont="1" applyFill="1" applyAlignment="1">
      <alignment vertical="center" shrinkToFit="1"/>
    </xf>
    <xf numFmtId="49" fontId="6" fillId="0" borderId="17" xfId="0" applyNumberFormat="1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/>
    <xf numFmtId="0" fontId="13" fillId="0" borderId="5" xfId="0" applyFont="1" applyFill="1" applyBorder="1" applyAlignment="1"/>
    <xf numFmtId="0" fontId="7" fillId="2" borderId="5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shrinkToFit="1"/>
    </xf>
    <xf numFmtId="0" fontId="4" fillId="0" borderId="11" xfId="0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vertical="center" shrinkToFit="1"/>
    </xf>
    <xf numFmtId="179" fontId="4" fillId="0" borderId="13" xfId="0" applyNumberFormat="1" applyFont="1" applyFill="1" applyBorder="1" applyAlignment="1">
      <alignment horizontal="left" vertical="center" shrinkToFit="1"/>
    </xf>
    <xf numFmtId="179" fontId="4" fillId="0" borderId="14" xfId="0" applyNumberFormat="1" applyFont="1" applyFill="1" applyBorder="1" applyAlignment="1">
      <alignment horizontal="left" vertical="center" shrinkToFit="1"/>
    </xf>
    <xf numFmtId="179" fontId="4" fillId="0" borderId="15" xfId="0" applyNumberFormat="1" applyFont="1" applyFill="1" applyBorder="1" applyAlignment="1">
      <alignment vertical="center" shrinkToFit="1"/>
    </xf>
    <xf numFmtId="8" fontId="4" fillId="0" borderId="13" xfId="0" applyNumberFormat="1" applyFont="1" applyFill="1" applyBorder="1" applyAlignment="1">
      <alignment horizontal="left" vertical="center" shrinkToFit="1"/>
    </xf>
    <xf numFmtId="8" fontId="4" fillId="0" borderId="16" xfId="0" applyNumberFormat="1" applyFont="1" applyFill="1" applyBorder="1" applyAlignment="1">
      <alignment horizontal="left" vertical="center" shrinkToFit="1"/>
    </xf>
    <xf numFmtId="0" fontId="1" fillId="0" borderId="0" xfId="0" applyFont="1" applyFill="1" applyAlignment="1">
      <alignment vertical="center" shrinkToFit="1"/>
    </xf>
    <xf numFmtId="0" fontId="0" fillId="0" borderId="0" xfId="0" applyFont="1" applyFill="1" applyAlignment="1">
      <alignment vertical="center" shrinkToFit="1"/>
    </xf>
    <xf numFmtId="180" fontId="8" fillId="0" borderId="5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wrapText="1" shrinkToFit="1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 shrinkToFit="1"/>
    </xf>
    <xf numFmtId="0" fontId="4" fillId="0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8" fontId="4" fillId="0" borderId="7" xfId="0" applyNumberFormat="1" applyFont="1" applyFill="1" applyBorder="1" applyAlignment="1">
      <alignment horizontal="center" vertical="center" shrinkToFit="1"/>
    </xf>
    <xf numFmtId="181" fontId="4" fillId="0" borderId="0" xfId="0" applyNumberFormat="1" applyFont="1" applyFill="1" applyAlignment="1">
      <alignment horizontal="left" vertical="center" shrinkToFit="1"/>
    </xf>
    <xf numFmtId="0" fontId="4" fillId="0" borderId="5" xfId="0" applyFont="1" applyFill="1" applyBorder="1" applyAlignment="1">
      <alignment horizontal="left" vertical="center" shrinkToFit="1"/>
    </xf>
    <xf numFmtId="0" fontId="4" fillId="0" borderId="5" xfId="0" applyFont="1" applyBorder="1" applyAlignment="1">
      <alignment horizontal="center" vertical="center"/>
    </xf>
    <xf numFmtId="180" fontId="4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 shrinkToFit="1"/>
    </xf>
    <xf numFmtId="8" fontId="4" fillId="0" borderId="7" xfId="0" applyNumberFormat="1" applyFont="1" applyFill="1" applyBorder="1" applyAlignment="1">
      <alignment vertical="center" shrinkToFit="1"/>
    </xf>
    <xf numFmtId="8" fontId="4" fillId="0" borderId="5" xfId="0" applyNumberFormat="1" applyFont="1" applyFill="1" applyBorder="1" applyAlignment="1">
      <alignment vertical="center" shrinkToFit="1"/>
    </xf>
    <xf numFmtId="179" fontId="8" fillId="0" borderId="5" xfId="0" applyNumberFormat="1" applyFont="1" applyFill="1" applyBorder="1" applyAlignment="1">
      <alignment horizontal="left" vertical="center" shrinkToFit="1"/>
    </xf>
    <xf numFmtId="182" fontId="8" fillId="0" borderId="5" xfId="0" applyNumberFormat="1" applyFont="1" applyFill="1" applyBorder="1" applyAlignment="1">
      <alignment horizontal="center" vertical="center" shrinkToFit="1"/>
    </xf>
    <xf numFmtId="180" fontId="8" fillId="0" borderId="5" xfId="0" applyNumberFormat="1" applyFont="1" applyFill="1" applyBorder="1" applyAlignment="1">
      <alignment horizontal="center" vertical="center" shrinkToFit="1"/>
    </xf>
    <xf numFmtId="0" fontId="14" fillId="0" borderId="0" xfId="0" applyFont="1" applyFill="1" applyAlignment="1">
      <alignment vertical="center" wrapText="1" shrinkToFit="1"/>
    </xf>
    <xf numFmtId="0" fontId="8" fillId="0" borderId="5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vertical="center" shrinkToFit="1"/>
    </xf>
    <xf numFmtId="0" fontId="7" fillId="3" borderId="5" xfId="0" applyFont="1" applyFill="1" applyBorder="1" applyAlignment="1">
      <alignment horizontal="center" vertical="center" wrapText="1"/>
    </xf>
    <xf numFmtId="49" fontId="15" fillId="0" borderId="5" xfId="0" applyNumberFormat="1" applyFont="1" applyFill="1" applyBorder="1" applyAlignment="1">
      <alignment horizontal="center" vertical="center"/>
    </xf>
    <xf numFmtId="183" fontId="8" fillId="0" borderId="5" xfId="0" applyNumberFormat="1" applyFont="1" applyFill="1" applyBorder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49" fontId="16" fillId="0" borderId="5" xfId="0" applyNumberFormat="1" applyFont="1" applyFill="1" applyBorder="1" applyAlignment="1">
      <alignment horizontal="center" vertical="center"/>
    </xf>
    <xf numFmtId="49" fontId="17" fillId="0" borderId="5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49" fontId="6" fillId="0" borderId="19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59" Type="http://schemas.openxmlformats.org/officeDocument/2006/relationships/theme" Target="theme/theme1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"/>
  <sheetViews>
    <sheetView topLeftCell="A91" workbookViewId="0">
      <selection activeCell="B117" sqref="B117"/>
    </sheetView>
  </sheetViews>
  <sheetFormatPr defaultColWidth="9.64166666666667" defaultRowHeight="13.5" outlineLevelCol="1"/>
  <cols>
    <col min="2" max="2" width="40" customWidth="1"/>
  </cols>
  <sheetData>
    <row r="1" spans="1:2">
      <c r="A1" s="60" t="s">
        <v>0</v>
      </c>
      <c r="B1" s="60" t="s">
        <v>1</v>
      </c>
    </row>
    <row r="2" spans="1:2">
      <c r="A2" s="60" t="s">
        <v>2</v>
      </c>
      <c r="B2" s="60" t="s">
        <v>3</v>
      </c>
    </row>
    <row r="3" spans="1:2">
      <c r="A3" s="60"/>
      <c r="B3" s="60" t="s">
        <v>4</v>
      </c>
    </row>
    <row r="4" spans="1:2">
      <c r="A4" s="60"/>
      <c r="B4" s="60" t="s">
        <v>5</v>
      </c>
    </row>
    <row r="5" spans="1:2">
      <c r="A5" s="60"/>
      <c r="B5" s="60" t="s">
        <v>6</v>
      </c>
    </row>
    <row r="6" spans="1:2">
      <c r="A6" s="60"/>
      <c r="B6" s="60" t="s">
        <v>7</v>
      </c>
    </row>
    <row r="7" spans="1:2">
      <c r="A7" s="60"/>
      <c r="B7" s="60" t="s">
        <v>8</v>
      </c>
    </row>
    <row r="8" spans="1:2">
      <c r="A8" s="60"/>
      <c r="B8" s="60" t="s">
        <v>9</v>
      </c>
    </row>
    <row r="9" spans="1:2">
      <c r="A9" s="60"/>
      <c r="B9" s="60" t="s">
        <v>10</v>
      </c>
    </row>
    <row r="10" spans="1:2">
      <c r="A10" s="60"/>
      <c r="B10" s="60" t="s">
        <v>11</v>
      </c>
    </row>
    <row r="11" spans="1:2">
      <c r="A11" s="60"/>
      <c r="B11" s="60" t="s">
        <v>12</v>
      </c>
    </row>
    <row r="12" spans="1:2">
      <c r="A12" s="60"/>
      <c r="B12" s="60" t="s">
        <v>13</v>
      </c>
    </row>
    <row r="13" spans="1:2">
      <c r="A13" s="60"/>
      <c r="B13" s="60" t="s">
        <v>14</v>
      </c>
    </row>
    <row r="14" spans="1:2">
      <c r="A14" s="60"/>
      <c r="B14" s="60" t="s">
        <v>15</v>
      </c>
    </row>
    <row r="15" spans="1:2">
      <c r="A15" s="60"/>
      <c r="B15" s="60" t="s">
        <v>16</v>
      </c>
    </row>
    <row r="16" spans="1:2">
      <c r="A16" s="60"/>
      <c r="B16" s="60" t="s">
        <v>17</v>
      </c>
    </row>
    <row r="17" spans="1:2">
      <c r="A17" s="60"/>
      <c r="B17" s="60" t="s">
        <v>18</v>
      </c>
    </row>
    <row r="18" spans="1:2">
      <c r="A18" s="60"/>
      <c r="B18" s="60" t="s">
        <v>19</v>
      </c>
    </row>
    <row r="19" spans="1:2">
      <c r="A19" s="60"/>
      <c r="B19" s="60" t="s">
        <v>20</v>
      </c>
    </row>
    <row r="20" spans="1:2">
      <c r="A20" s="60"/>
      <c r="B20" s="60" t="s">
        <v>21</v>
      </c>
    </row>
    <row r="21" spans="1:2">
      <c r="A21" s="60"/>
      <c r="B21" s="60" t="s">
        <v>22</v>
      </c>
    </row>
    <row r="22" spans="1:2">
      <c r="A22" s="60"/>
      <c r="B22" s="60" t="s">
        <v>23</v>
      </c>
    </row>
    <row r="23" spans="1:2">
      <c r="A23" s="60"/>
      <c r="B23" s="60" t="s">
        <v>24</v>
      </c>
    </row>
    <row r="24" spans="1:2">
      <c r="A24" s="60"/>
      <c r="B24" s="60" t="s">
        <v>25</v>
      </c>
    </row>
    <row r="25" spans="1:2">
      <c r="A25" s="60"/>
      <c r="B25" s="60" t="s">
        <v>26</v>
      </c>
    </row>
    <row r="26" spans="1:2">
      <c r="A26" s="60"/>
      <c r="B26" s="60" t="s">
        <v>27</v>
      </c>
    </row>
    <row r="27" spans="1:2">
      <c r="A27" s="60"/>
      <c r="B27" s="60" t="s">
        <v>28</v>
      </c>
    </row>
    <row r="28" spans="1:2">
      <c r="A28" s="60"/>
      <c r="B28" s="60" t="s">
        <v>29</v>
      </c>
    </row>
    <row r="29" spans="1:2">
      <c r="A29" s="60"/>
      <c r="B29" s="60" t="s">
        <v>30</v>
      </c>
    </row>
    <row r="30" spans="1:2">
      <c r="A30" s="60"/>
      <c r="B30" s="60" t="s">
        <v>31</v>
      </c>
    </row>
    <row r="31" spans="1:2">
      <c r="A31" s="60"/>
      <c r="B31" s="60" t="s">
        <v>32</v>
      </c>
    </row>
    <row r="32" spans="1:2">
      <c r="A32" s="60"/>
      <c r="B32" s="60" t="s">
        <v>33</v>
      </c>
    </row>
    <row r="33" spans="1:2">
      <c r="A33" s="60"/>
      <c r="B33" s="60" t="s">
        <v>34</v>
      </c>
    </row>
    <row r="34" spans="1:2">
      <c r="A34" s="60"/>
      <c r="B34" s="60" t="s">
        <v>35</v>
      </c>
    </row>
    <row r="35" spans="1:2">
      <c r="A35" s="60"/>
      <c r="B35" s="60" t="s">
        <v>36</v>
      </c>
    </row>
    <row r="36" spans="1:2">
      <c r="A36" s="60"/>
      <c r="B36" s="60" t="s">
        <v>37</v>
      </c>
    </row>
    <row r="37" spans="1:2">
      <c r="A37" s="60"/>
      <c r="B37" s="60" t="s">
        <v>38</v>
      </c>
    </row>
    <row r="38" spans="1:2">
      <c r="A38" s="60"/>
      <c r="B38" s="60" t="s">
        <v>39</v>
      </c>
    </row>
    <row r="39" spans="1:2">
      <c r="A39" s="60"/>
      <c r="B39" s="60" t="s">
        <v>40</v>
      </c>
    </row>
    <row r="40" spans="1:2">
      <c r="A40" s="60"/>
      <c r="B40" s="60" t="s">
        <v>41</v>
      </c>
    </row>
    <row r="41" spans="1:2">
      <c r="A41" s="60"/>
      <c r="B41" s="60" t="s">
        <v>42</v>
      </c>
    </row>
    <row r="42" spans="1:2">
      <c r="A42" s="60"/>
      <c r="B42" s="60" t="s">
        <v>43</v>
      </c>
    </row>
    <row r="43" spans="1:2">
      <c r="A43" s="60"/>
      <c r="B43" s="60" t="s">
        <v>44</v>
      </c>
    </row>
    <row r="44" spans="1:2">
      <c r="A44" s="60"/>
      <c r="B44" s="60" t="s">
        <v>45</v>
      </c>
    </row>
    <row r="45" spans="1:2">
      <c r="A45" s="60"/>
      <c r="B45" s="60" t="s">
        <v>46</v>
      </c>
    </row>
    <row r="46" spans="1:2">
      <c r="A46" s="60"/>
      <c r="B46" s="60" t="s">
        <v>47</v>
      </c>
    </row>
    <row r="47" spans="1:2">
      <c r="A47" s="60"/>
      <c r="B47" s="60" t="s">
        <v>48</v>
      </c>
    </row>
    <row r="48" spans="1:2">
      <c r="A48" s="60"/>
      <c r="B48" s="60" t="s">
        <v>49</v>
      </c>
    </row>
    <row r="49" spans="1:2">
      <c r="A49" s="60"/>
      <c r="B49" s="60" t="s">
        <v>50</v>
      </c>
    </row>
    <row r="50" spans="1:2">
      <c r="A50" s="60"/>
      <c r="B50" s="60" t="s">
        <v>51</v>
      </c>
    </row>
    <row r="51" spans="1:2">
      <c r="A51" s="60"/>
      <c r="B51" s="60" t="s">
        <v>52</v>
      </c>
    </row>
    <row r="52" spans="1:2">
      <c r="A52" s="60"/>
      <c r="B52" s="60" t="s">
        <v>53</v>
      </c>
    </row>
    <row r="53" spans="1:2">
      <c r="A53" s="60"/>
      <c r="B53" s="60" t="s">
        <v>54</v>
      </c>
    </row>
    <row r="54" spans="1:2">
      <c r="A54" s="60"/>
      <c r="B54" s="60" t="s">
        <v>55</v>
      </c>
    </row>
    <row r="55" spans="1:2">
      <c r="A55" s="60"/>
      <c r="B55" s="60" t="s">
        <v>56</v>
      </c>
    </row>
    <row r="56" spans="1:2">
      <c r="A56" s="60"/>
      <c r="B56" s="60" t="s">
        <v>57</v>
      </c>
    </row>
    <row r="57" spans="1:2">
      <c r="A57" s="60"/>
      <c r="B57" s="60" t="s">
        <v>58</v>
      </c>
    </row>
    <row r="58" spans="1:2">
      <c r="A58" s="60"/>
      <c r="B58" s="60" t="s">
        <v>59</v>
      </c>
    </row>
    <row r="59" spans="1:2">
      <c r="A59" s="60"/>
      <c r="B59" s="60" t="s">
        <v>60</v>
      </c>
    </row>
    <row r="60" spans="1:2">
      <c r="A60" s="60"/>
      <c r="B60" s="60" t="s">
        <v>61</v>
      </c>
    </row>
    <row r="61" spans="1:2">
      <c r="A61" s="60"/>
      <c r="B61" s="60" t="s">
        <v>62</v>
      </c>
    </row>
    <row r="62" spans="1:2">
      <c r="A62" s="60"/>
      <c r="B62" s="60" t="s">
        <v>63</v>
      </c>
    </row>
    <row r="63" spans="1:2">
      <c r="A63" s="60"/>
      <c r="B63" s="60" t="s">
        <v>64</v>
      </c>
    </row>
    <row r="64" spans="1:2">
      <c r="A64" s="60"/>
      <c r="B64" s="60" t="s">
        <v>65</v>
      </c>
    </row>
    <row r="65" spans="1:2">
      <c r="A65" s="60"/>
      <c r="B65" s="60" t="s">
        <v>66</v>
      </c>
    </row>
    <row r="66" spans="1:2">
      <c r="A66" s="60"/>
      <c r="B66" s="60" t="s">
        <v>67</v>
      </c>
    </row>
    <row r="67" spans="1:2">
      <c r="A67" s="60"/>
      <c r="B67" s="60" t="s">
        <v>68</v>
      </c>
    </row>
    <row r="68" spans="1:2">
      <c r="A68" s="60"/>
      <c r="B68" s="60" t="s">
        <v>69</v>
      </c>
    </row>
    <row r="69" spans="1:2">
      <c r="A69" s="60"/>
      <c r="B69" s="60" t="s">
        <v>70</v>
      </c>
    </row>
    <row r="70" spans="1:2">
      <c r="A70" s="60"/>
      <c r="B70" s="60" t="s">
        <v>71</v>
      </c>
    </row>
    <row r="71" spans="1:2">
      <c r="A71" s="60"/>
      <c r="B71" s="60" t="s">
        <v>72</v>
      </c>
    </row>
    <row r="72" spans="1:2">
      <c r="A72" s="60"/>
      <c r="B72" s="60" t="s">
        <v>73</v>
      </c>
    </row>
    <row r="73" spans="1:2">
      <c r="A73" s="60"/>
      <c r="B73" s="60" t="s">
        <v>74</v>
      </c>
    </row>
    <row r="74" spans="1:2">
      <c r="A74" s="60"/>
      <c r="B74" s="60" t="s">
        <v>75</v>
      </c>
    </row>
    <row r="75" spans="1:2">
      <c r="A75" s="60"/>
      <c r="B75" s="60" t="s">
        <v>76</v>
      </c>
    </row>
    <row r="76" spans="1:2">
      <c r="A76" s="60"/>
      <c r="B76" s="60" t="s">
        <v>77</v>
      </c>
    </row>
    <row r="77" spans="1:2">
      <c r="A77" s="60"/>
      <c r="B77" s="60" t="s">
        <v>78</v>
      </c>
    </row>
    <row r="78" spans="1:2">
      <c r="A78" s="60"/>
      <c r="B78" s="60" t="s">
        <v>79</v>
      </c>
    </row>
    <row r="79" spans="1:2">
      <c r="A79" s="60"/>
      <c r="B79" s="60" t="s">
        <v>80</v>
      </c>
    </row>
    <row r="80" spans="1:2">
      <c r="A80" s="60"/>
      <c r="B80" s="60" t="s">
        <v>81</v>
      </c>
    </row>
    <row r="81" spans="1:2">
      <c r="A81" s="60"/>
      <c r="B81" s="60" t="s">
        <v>82</v>
      </c>
    </row>
    <row r="82" spans="1:2">
      <c r="A82" s="60"/>
      <c r="B82" s="60" t="s">
        <v>83</v>
      </c>
    </row>
    <row r="83" spans="1:2">
      <c r="A83" s="60"/>
      <c r="B83" s="60" t="s">
        <v>84</v>
      </c>
    </row>
    <row r="84" spans="1:2">
      <c r="A84" s="60"/>
      <c r="B84" s="60" t="s">
        <v>85</v>
      </c>
    </row>
    <row r="85" spans="1:2">
      <c r="A85" s="60"/>
      <c r="B85" s="60" t="s">
        <v>86</v>
      </c>
    </row>
    <row r="86" spans="1:2">
      <c r="A86" s="60"/>
      <c r="B86" s="60" t="s">
        <v>87</v>
      </c>
    </row>
    <row r="87" spans="1:2">
      <c r="A87" s="60"/>
      <c r="B87" s="60" t="s">
        <v>88</v>
      </c>
    </row>
    <row r="88" spans="1:2">
      <c r="A88" s="60"/>
      <c r="B88" s="60" t="s">
        <v>89</v>
      </c>
    </row>
    <row r="89" spans="1:2">
      <c r="A89" s="60"/>
      <c r="B89" s="60" t="s">
        <v>90</v>
      </c>
    </row>
    <row r="90" spans="1:2">
      <c r="A90" s="60"/>
      <c r="B90" s="60" t="s">
        <v>91</v>
      </c>
    </row>
    <row r="91" spans="1:2">
      <c r="A91" s="60"/>
      <c r="B91" s="60" t="s">
        <v>92</v>
      </c>
    </row>
    <row r="92" spans="1:2">
      <c r="A92" s="60"/>
      <c r="B92" s="60" t="s">
        <v>93</v>
      </c>
    </row>
    <row r="93" spans="1:2">
      <c r="A93" s="60"/>
      <c r="B93" s="60" t="s">
        <v>94</v>
      </c>
    </row>
    <row r="94" spans="1:2">
      <c r="A94" s="60"/>
      <c r="B94" s="60" t="s">
        <v>95</v>
      </c>
    </row>
    <row r="95" spans="1:2">
      <c r="A95" s="60"/>
      <c r="B95" s="60" t="s">
        <v>96</v>
      </c>
    </row>
    <row r="96" spans="1:2">
      <c r="A96" s="60"/>
      <c r="B96" s="60" t="s">
        <v>97</v>
      </c>
    </row>
    <row r="97" spans="1:2">
      <c r="A97" s="60"/>
      <c r="B97" s="60" t="s">
        <v>98</v>
      </c>
    </row>
    <row r="98" spans="1:2">
      <c r="A98" s="60"/>
      <c r="B98" s="60" t="s">
        <v>96</v>
      </c>
    </row>
    <row r="99" spans="1:2">
      <c r="A99" s="60"/>
      <c r="B99" s="60" t="s">
        <v>99</v>
      </c>
    </row>
    <row r="100" spans="1:2">
      <c r="A100" s="60"/>
      <c r="B100" s="60" t="s">
        <v>100</v>
      </c>
    </row>
    <row r="101" spans="1:2">
      <c r="A101" s="60"/>
      <c r="B101" s="60" t="s">
        <v>101</v>
      </c>
    </row>
    <row r="102" spans="1:2">
      <c r="A102" s="60"/>
      <c r="B102" s="60" t="s">
        <v>102</v>
      </c>
    </row>
    <row r="103" spans="1:2">
      <c r="A103" s="60"/>
      <c r="B103" s="60" t="s">
        <v>103</v>
      </c>
    </row>
    <row r="104" spans="1:2">
      <c r="A104" s="60"/>
      <c r="B104" s="60" t="s">
        <v>104</v>
      </c>
    </row>
    <row r="105" spans="1:2">
      <c r="A105" s="60"/>
      <c r="B105" s="60" t="s">
        <v>105</v>
      </c>
    </row>
    <row r="106" spans="1:2">
      <c r="A106" s="60"/>
      <c r="B106" s="60" t="s">
        <v>106</v>
      </c>
    </row>
    <row r="107" spans="1:2">
      <c r="A107" s="60"/>
      <c r="B107" s="60" t="s">
        <v>107</v>
      </c>
    </row>
    <row r="108" spans="1:2">
      <c r="A108" s="60"/>
      <c r="B108" s="60" t="s">
        <v>108</v>
      </c>
    </row>
    <row r="109" spans="1:2">
      <c r="A109" s="60"/>
      <c r="B109" s="60" t="s">
        <v>109</v>
      </c>
    </row>
    <row r="110" spans="1:2">
      <c r="A110" s="60"/>
      <c r="B110" s="60" t="s">
        <v>110</v>
      </c>
    </row>
    <row r="111" spans="1:2">
      <c r="A111" s="60"/>
      <c r="B111" s="60" t="s">
        <v>111</v>
      </c>
    </row>
    <row r="112" spans="1:2">
      <c r="A112" s="60"/>
      <c r="B112" s="60" t="s">
        <v>112</v>
      </c>
    </row>
    <row r="113" spans="1:2">
      <c r="A113" s="60"/>
      <c r="B113" s="60" t="s">
        <v>113</v>
      </c>
    </row>
    <row r="114" spans="1:2">
      <c r="A114" s="60"/>
      <c r="B114" s="60" t="s">
        <v>114</v>
      </c>
    </row>
    <row r="115" spans="1:2">
      <c r="A115" s="60"/>
      <c r="B115" s="60" t="s">
        <v>115</v>
      </c>
    </row>
    <row r="116" spans="1:2">
      <c r="B116" t="s">
        <v>116</v>
      </c>
    </row>
    <row r="117" spans="1:2">
      <c r="B117" t="s">
        <v>117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31" sqref="C31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121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115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134</v>
      </c>
      <c r="D8" s="21">
        <v>200000</v>
      </c>
      <c r="E8" s="20" t="s">
        <v>135</v>
      </c>
      <c r="F8" s="27">
        <f>G8/D8</f>
        <v>0.584</v>
      </c>
      <c r="G8" s="23">
        <v>116800</v>
      </c>
      <c r="H8" s="24"/>
    </row>
    <row r="9" spans="1:8">
      <c r="A9" s="18" t="s">
        <v>136</v>
      </c>
      <c r="B9" s="19"/>
      <c r="C9" s="20" t="s">
        <v>137</v>
      </c>
      <c r="D9" s="19">
        <v>300000</v>
      </c>
      <c r="E9" s="20" t="s">
        <v>135</v>
      </c>
      <c r="F9" s="27">
        <f>G9/D9</f>
        <v>0.5309</v>
      </c>
      <c r="G9" s="23">
        <v>159270</v>
      </c>
      <c r="H9" s="25"/>
    </row>
    <row r="10" spans="1:8">
      <c r="A10" s="18" t="s">
        <v>138</v>
      </c>
      <c r="B10" s="19"/>
      <c r="C10" s="20" t="s">
        <v>139</v>
      </c>
      <c r="D10" s="19">
        <v>50000</v>
      </c>
      <c r="E10" s="20" t="s">
        <v>135</v>
      </c>
      <c r="F10" s="27">
        <f>G10/D10</f>
        <v>0.5486</v>
      </c>
      <c r="G10" s="23">
        <v>27430</v>
      </c>
      <c r="H10" s="25"/>
    </row>
    <row r="11" spans="1:8">
      <c r="A11" s="18" t="s">
        <v>140</v>
      </c>
      <c r="B11" s="21"/>
      <c r="C11" s="20" t="s">
        <v>141</v>
      </c>
      <c r="D11" s="21">
        <v>100000</v>
      </c>
      <c r="E11" s="20" t="s">
        <v>135</v>
      </c>
      <c r="F11" s="27">
        <f>G11/D11</f>
        <v>0.5486</v>
      </c>
      <c r="G11" s="23">
        <v>54860</v>
      </c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358360</v>
      </c>
      <c r="D22" s="31"/>
      <c r="E22" s="31"/>
      <c r="F22" s="32" t="s">
        <v>153</v>
      </c>
      <c r="G22" s="33">
        <f>SUM(G8:G21)</f>
        <v>358360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基础信息!$B:$B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H18"/>
  <sheetViews>
    <sheetView workbookViewId="0">
      <selection activeCell="D28" sqref="D2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6.6333333333333" customWidth="1"/>
    <col min="4" max="4" width="10.25" customWidth="1"/>
    <col min="5" max="5" width="6" customWidth="1"/>
    <col min="6" max="6" width="11" customWidth="1"/>
    <col min="7" max="7" width="14.5" customWidth="1"/>
    <col min="8" max="8" width="13.1333333333333" customWidth="1"/>
  </cols>
  <sheetData>
    <row r="1" ht="22.5" spans="1:8">
      <c r="A1" s="1" t="s">
        <v>156</v>
      </c>
      <c r="B1" s="1"/>
      <c r="C1" s="1"/>
      <c r="D1" s="1"/>
      <c r="E1" s="1"/>
      <c r="F1" s="1"/>
      <c r="G1" s="1"/>
      <c r="H1" s="1"/>
    </row>
    <row r="2" spans="1:8">
      <c r="A2" s="42" t="s">
        <v>157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158</v>
      </c>
      <c r="B3" s="3"/>
      <c r="C3" s="3"/>
      <c r="D3" s="3"/>
      <c r="E3" s="3"/>
      <c r="F3" s="3"/>
      <c r="G3" s="43" t="s">
        <v>159</v>
      </c>
      <c r="H3" s="44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72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45" t="s">
        <v>133</v>
      </c>
      <c r="B8" s="46"/>
      <c r="C8" s="47" t="s">
        <v>137</v>
      </c>
      <c r="D8" s="19">
        <v>250000</v>
      </c>
      <c r="E8" s="48" t="s">
        <v>135</v>
      </c>
      <c r="F8" s="21">
        <f>G8/D8</f>
        <v>0.51680088</v>
      </c>
      <c r="G8" s="23">
        <v>129200.22</v>
      </c>
      <c r="H8" s="49"/>
    </row>
    <row r="9" spans="1:8">
      <c r="A9" s="45" t="s">
        <v>136</v>
      </c>
      <c r="B9" s="46"/>
      <c r="C9" s="47"/>
      <c r="D9" s="19"/>
      <c r="E9" s="48"/>
      <c r="F9" s="21"/>
      <c r="G9" s="23"/>
      <c r="H9" s="49"/>
    </row>
    <row r="10" spans="1:8">
      <c r="A10" s="45" t="s">
        <v>138</v>
      </c>
      <c r="B10" s="46"/>
      <c r="C10" s="47"/>
      <c r="D10" s="19"/>
      <c r="E10" s="48"/>
      <c r="F10" s="21"/>
      <c r="G10" s="23"/>
      <c r="H10" s="49"/>
    </row>
    <row r="11" spans="1:8">
      <c r="A11" s="45" t="s">
        <v>140</v>
      </c>
      <c r="B11" s="46"/>
      <c r="C11" s="47"/>
      <c r="D11" s="19"/>
      <c r="E11" s="48"/>
      <c r="F11" s="21"/>
      <c r="G11" s="23"/>
      <c r="H11" s="49"/>
    </row>
    <row r="12" spans="1:8">
      <c r="A12" s="45" t="s">
        <v>142</v>
      </c>
      <c r="B12" s="46"/>
      <c r="C12" s="47"/>
      <c r="D12" s="19"/>
      <c r="E12" s="48"/>
      <c r="F12" s="21"/>
      <c r="G12" s="23"/>
      <c r="H12" s="49"/>
    </row>
    <row r="13" spans="1:8">
      <c r="A13" s="45" t="s">
        <v>143</v>
      </c>
      <c r="B13" s="46"/>
      <c r="C13" s="47"/>
      <c r="D13" s="19"/>
      <c r="E13" s="48"/>
      <c r="F13" s="21"/>
      <c r="G13" s="23"/>
      <c r="H13" s="49"/>
    </row>
    <row r="14" spans="1:8">
      <c r="A14" s="45" t="s">
        <v>144</v>
      </c>
      <c r="B14" s="46"/>
      <c r="C14" s="47"/>
      <c r="D14" s="19"/>
      <c r="E14" s="48"/>
      <c r="F14" s="21"/>
      <c r="G14" s="23"/>
      <c r="H14" s="49"/>
    </row>
    <row r="15" spans="1:8">
      <c r="A15" s="45" t="s">
        <v>145</v>
      </c>
      <c r="B15" s="46"/>
      <c r="C15" s="47"/>
      <c r="D15" s="19"/>
      <c r="E15" s="48"/>
      <c r="F15" s="21"/>
      <c r="G15" s="23"/>
      <c r="H15" s="49"/>
    </row>
    <row r="16" spans="1:8">
      <c r="A16" s="45" t="s">
        <v>146</v>
      </c>
      <c r="B16" s="46"/>
      <c r="C16" s="47"/>
      <c r="D16" s="19"/>
      <c r="E16" s="48"/>
      <c r="F16" s="21"/>
      <c r="G16" s="23"/>
      <c r="H16" s="49"/>
    </row>
    <row r="17" ht="14.25" spans="1:8">
      <c r="A17" s="50" t="s">
        <v>152</v>
      </c>
      <c r="B17" s="51"/>
      <c r="C17" s="52">
        <f>G17</f>
        <v>129200.22</v>
      </c>
      <c r="D17" s="53"/>
      <c r="E17" s="53"/>
      <c r="F17" s="54" t="s">
        <v>153</v>
      </c>
      <c r="G17" s="55">
        <f>SUM(G8:G16)</f>
        <v>129200.22</v>
      </c>
      <c r="H17" s="56"/>
    </row>
    <row r="18" ht="23" customHeight="1" spans="1:8">
      <c r="A18" s="35" t="s">
        <v>154</v>
      </c>
      <c r="B18" s="36"/>
      <c r="C18" s="37"/>
      <c r="D18" s="38"/>
      <c r="E18" s="38"/>
      <c r="F18" s="39"/>
      <c r="G18" s="40" t="s">
        <v>160</v>
      </c>
      <c r="H18" s="41"/>
    </row>
  </sheetData>
  <autoFilter xmlns:etc="http://www.wps.cn/officeDocument/2017/etCustomData" ref="A7:H18" etc:filterBottomFollowUsedRange="0">
    <extLst/>
  </autoFilter>
  <mergeCells count="13">
    <mergeCell ref="A1:H1"/>
    <mergeCell ref="A2:H2"/>
    <mergeCell ref="A3:F3"/>
    <mergeCell ref="G3:H3"/>
    <mergeCell ref="A4:B4"/>
    <mergeCell ref="C4:F4"/>
    <mergeCell ref="C17:E17"/>
    <mergeCell ref="G17:H17"/>
    <mergeCell ref="A18:B18"/>
    <mergeCell ref="C18:F18"/>
    <mergeCell ref="G18:H18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54166666666667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H21"/>
  <sheetViews>
    <sheetView topLeftCell="A3" workbookViewId="0">
      <selection activeCell="D30" sqref="D30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6.6333333333333" customWidth="1"/>
    <col min="4" max="4" width="10.25" customWidth="1"/>
    <col min="5" max="5" width="6" customWidth="1"/>
    <col min="6" max="6" width="11" customWidth="1"/>
    <col min="7" max="7" width="14.5" customWidth="1"/>
    <col min="8" max="8" width="13.1333333333333" customWidth="1"/>
  </cols>
  <sheetData>
    <row r="1" ht="22.5" spans="1:8">
      <c r="A1" s="1" t="s">
        <v>156</v>
      </c>
      <c r="B1" s="1"/>
      <c r="C1" s="1"/>
      <c r="D1" s="1"/>
      <c r="E1" s="1"/>
      <c r="F1" s="1"/>
      <c r="G1" s="1"/>
      <c r="H1" s="1"/>
    </row>
    <row r="2" spans="1:8">
      <c r="A2" s="42" t="s">
        <v>157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158</v>
      </c>
      <c r="B3" s="3"/>
      <c r="C3" s="3"/>
      <c r="D3" s="3"/>
      <c r="E3" s="3"/>
      <c r="F3" s="3"/>
      <c r="G3" s="85" t="s">
        <v>161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64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45" t="s">
        <v>133</v>
      </c>
      <c r="B8" s="46"/>
      <c r="C8" s="47" t="s">
        <v>162</v>
      </c>
      <c r="D8" s="19">
        <v>1945.78</v>
      </c>
      <c r="E8" s="21" t="s">
        <v>163</v>
      </c>
      <c r="F8" s="21">
        <f>G8/D8</f>
        <v>29.9380556897491</v>
      </c>
      <c r="G8" s="23">
        <v>58252.87</v>
      </c>
      <c r="H8" s="95"/>
    </row>
    <row r="9" spans="1:8">
      <c r="A9" s="45" t="s">
        <v>136</v>
      </c>
      <c r="B9" s="46"/>
      <c r="C9" s="47" t="s">
        <v>164</v>
      </c>
      <c r="D9" s="19">
        <v>2207.97</v>
      </c>
      <c r="E9" s="21" t="s">
        <v>163</v>
      </c>
      <c r="F9" s="21">
        <f>G9/D9</f>
        <v>33.4477868811623</v>
      </c>
      <c r="G9" s="23">
        <v>73851.71</v>
      </c>
      <c r="H9" s="24"/>
    </row>
    <row r="10" spans="1:8">
      <c r="A10" s="45" t="s">
        <v>138</v>
      </c>
      <c r="B10" s="46"/>
      <c r="D10" s="19"/>
      <c r="E10" s="21"/>
      <c r="F10" s="21"/>
      <c r="G10" s="23"/>
      <c r="H10" s="25"/>
    </row>
    <row r="11" spans="1:8">
      <c r="A11" s="45" t="s">
        <v>140</v>
      </c>
      <c r="B11" s="46"/>
      <c r="C11" s="47"/>
      <c r="D11" s="19"/>
      <c r="E11" s="21"/>
      <c r="F11" s="21"/>
      <c r="G11" s="23"/>
      <c r="H11" s="25"/>
    </row>
    <row r="12" spans="1:8">
      <c r="A12" s="45" t="s">
        <v>142</v>
      </c>
      <c r="B12" s="46"/>
      <c r="C12" s="47"/>
      <c r="D12" s="19"/>
      <c r="E12" s="21"/>
      <c r="F12" s="21"/>
      <c r="G12" s="23"/>
      <c r="H12" s="25"/>
    </row>
    <row r="13" spans="1:8">
      <c r="A13" s="45" t="s">
        <v>143</v>
      </c>
      <c r="B13" s="46"/>
      <c r="C13" s="47"/>
      <c r="D13" s="19"/>
      <c r="E13" s="21"/>
      <c r="F13" s="21"/>
      <c r="G13" s="23"/>
      <c r="H13" s="25"/>
    </row>
    <row r="14" spans="1:8">
      <c r="A14" s="45" t="s">
        <v>144</v>
      </c>
      <c r="B14" s="46"/>
      <c r="C14" s="47"/>
      <c r="D14" s="19"/>
      <c r="E14" s="21"/>
      <c r="F14" s="21"/>
      <c r="G14" s="23"/>
      <c r="H14" s="25"/>
    </row>
    <row r="15" spans="1:8">
      <c r="A15" s="45" t="s">
        <v>145</v>
      </c>
      <c r="B15" s="46"/>
      <c r="C15" s="47"/>
      <c r="D15" s="19"/>
      <c r="E15" s="48"/>
      <c r="F15" s="21"/>
      <c r="G15" s="23"/>
      <c r="H15" s="49"/>
    </row>
    <row r="16" spans="1:8">
      <c r="A16" s="45" t="s">
        <v>146</v>
      </c>
      <c r="B16" s="46"/>
      <c r="C16" s="47"/>
      <c r="D16" s="19"/>
      <c r="E16" s="48"/>
      <c r="F16" s="21"/>
      <c r="G16" s="23"/>
      <c r="H16" s="49"/>
    </row>
    <row r="17" spans="1:8">
      <c r="A17" s="45" t="s">
        <v>147</v>
      </c>
      <c r="B17" s="46"/>
      <c r="C17" s="47"/>
      <c r="D17" s="19"/>
      <c r="E17" s="48"/>
      <c r="F17" s="21"/>
      <c r="G17" s="23"/>
      <c r="H17" s="49"/>
    </row>
    <row r="18" spans="1:8">
      <c r="A18" s="45" t="s">
        <v>148</v>
      </c>
      <c r="B18" s="46"/>
      <c r="C18" s="47"/>
      <c r="D18" s="19"/>
      <c r="E18" s="48"/>
      <c r="F18" s="21"/>
      <c r="G18" s="23"/>
      <c r="H18" s="49"/>
    </row>
    <row r="19" spans="1:8">
      <c r="A19" s="45" t="s">
        <v>149</v>
      </c>
      <c r="B19" s="46"/>
      <c r="C19" s="47"/>
      <c r="D19" s="19"/>
      <c r="E19" s="48"/>
      <c r="F19" s="21"/>
      <c r="G19" s="23"/>
      <c r="H19" s="49"/>
    </row>
    <row r="20" ht="14.25" spans="1:8">
      <c r="A20" s="50" t="s">
        <v>152</v>
      </c>
      <c r="B20" s="51"/>
      <c r="C20" s="52">
        <f>G20</f>
        <v>132104.58</v>
      </c>
      <c r="D20" s="53"/>
      <c r="E20" s="53"/>
      <c r="F20" s="54" t="s">
        <v>153</v>
      </c>
      <c r="G20" s="55">
        <f>SUM(G8:G17)</f>
        <v>132104.58</v>
      </c>
      <c r="H20" s="56"/>
    </row>
    <row r="21" ht="23" customHeight="1" spans="1:8">
      <c r="A21" s="35" t="s">
        <v>154</v>
      </c>
      <c r="B21" s="36"/>
      <c r="C21" s="37"/>
      <c r="D21" s="38"/>
      <c r="E21" s="38"/>
      <c r="F21" s="39"/>
      <c r="G21" s="40" t="s">
        <v>160</v>
      </c>
      <c r="H21" s="41"/>
    </row>
  </sheetData>
  <autoFilter xmlns:etc="http://www.wps.cn/officeDocument/2017/etCustomData" ref="A7:H21" etc:filterBottomFollowUsedRange="0">
    <extLst/>
  </autoFilter>
  <mergeCells count="13">
    <mergeCell ref="A1:H1"/>
    <mergeCell ref="A2:H2"/>
    <mergeCell ref="A3:F3"/>
    <mergeCell ref="G3:H3"/>
    <mergeCell ref="A4:B4"/>
    <mergeCell ref="C4:F4"/>
    <mergeCell ref="C20:E20"/>
    <mergeCell ref="G20:H20"/>
    <mergeCell ref="A21:B21"/>
    <mergeCell ref="C21:F21"/>
    <mergeCell ref="G21:H21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54166666666667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37" customHeight="1" spans="1:8">
      <c r="A3" s="3" t="s">
        <v>120</v>
      </c>
      <c r="B3" s="3"/>
      <c r="C3" s="3"/>
      <c r="D3" s="3"/>
      <c r="E3" s="3"/>
      <c r="F3" s="3"/>
      <c r="G3" s="4" t="s">
        <v>165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166</v>
      </c>
      <c r="D8" s="19">
        <v>38409.04</v>
      </c>
      <c r="E8" s="21" t="s">
        <v>163</v>
      </c>
      <c r="F8" s="22">
        <f t="shared" ref="F8:F14" si="0">G8/D8</f>
        <v>39.7500874794059</v>
      </c>
      <c r="G8" s="23">
        <v>1526762.7</v>
      </c>
      <c r="H8" s="24"/>
    </row>
    <row r="9" ht="14.25" spans="1:8">
      <c r="A9" s="18" t="s">
        <v>136</v>
      </c>
      <c r="B9" s="19"/>
      <c r="C9" s="90" t="s">
        <v>167</v>
      </c>
      <c r="D9" s="19">
        <v>14572.09</v>
      </c>
      <c r="E9" s="21" t="s">
        <v>163</v>
      </c>
      <c r="F9" s="22">
        <f t="shared" si="0"/>
        <v>39.6981167423479</v>
      </c>
      <c r="G9" s="23">
        <v>578484.53</v>
      </c>
      <c r="H9" s="25"/>
    </row>
    <row r="10" ht="14.25" spans="1:8">
      <c r="A10" s="18" t="s">
        <v>138</v>
      </c>
      <c r="B10" s="19"/>
      <c r="C10" s="90" t="s">
        <v>168</v>
      </c>
      <c r="D10" s="19">
        <v>2691.02</v>
      </c>
      <c r="E10" s="21" t="s">
        <v>163</v>
      </c>
      <c r="F10" s="22">
        <f t="shared" si="0"/>
        <v>53.4956001813439</v>
      </c>
      <c r="G10" s="23">
        <v>143957.73</v>
      </c>
      <c r="H10" s="25"/>
    </row>
    <row r="11" ht="14.25" spans="1:8">
      <c r="A11" s="18" t="s">
        <v>140</v>
      </c>
      <c r="B11" s="21"/>
      <c r="C11" s="90" t="s">
        <v>169</v>
      </c>
      <c r="D11" s="21">
        <v>2080.26</v>
      </c>
      <c r="E11" s="21" t="s">
        <v>163</v>
      </c>
      <c r="F11" s="22">
        <f t="shared" si="0"/>
        <v>63.2331391268399</v>
      </c>
      <c r="G11" s="23">
        <v>131541.37</v>
      </c>
      <c r="H11" s="25"/>
    </row>
    <row r="12" ht="14.25" spans="1:8">
      <c r="A12" s="18" t="s">
        <v>142</v>
      </c>
      <c r="B12" s="21"/>
      <c r="C12" s="90" t="s">
        <v>170</v>
      </c>
      <c r="D12" s="21">
        <v>4194.38</v>
      </c>
      <c r="E12" s="21" t="s">
        <v>163</v>
      </c>
      <c r="F12" s="22">
        <f t="shared" si="0"/>
        <v>44.2655005030541</v>
      </c>
      <c r="G12" s="23">
        <v>185666.33</v>
      </c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 t="s">
        <v>146</v>
      </c>
      <c r="B16" s="21"/>
      <c r="C16" s="90"/>
      <c r="D16" s="21"/>
      <c r="E16" s="21"/>
      <c r="F16" s="22"/>
      <c r="G16" s="23"/>
      <c r="H16" s="25"/>
    </row>
    <row r="17" ht="14.25" spans="1:8">
      <c r="A17" s="18" t="s">
        <v>147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148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149</v>
      </c>
      <c r="B19" s="21"/>
      <c r="C19" s="90"/>
      <c r="D19" s="21"/>
      <c r="E19" s="21"/>
      <c r="F19" s="22"/>
      <c r="G19" s="23"/>
      <c r="H19" s="25"/>
    </row>
    <row r="20" ht="14.25" spans="1:8">
      <c r="A20" s="18" t="s">
        <v>150</v>
      </c>
      <c r="B20" s="21"/>
      <c r="C20" s="90"/>
      <c r="D20" s="21"/>
      <c r="E20" s="21"/>
      <c r="F20" s="22"/>
      <c r="G20" s="23"/>
      <c r="H20" s="25"/>
    </row>
    <row r="21" spans="1:8">
      <c r="A21" s="28" t="s">
        <v>152</v>
      </c>
      <c r="B21" s="29"/>
      <c r="C21" s="30">
        <f>G21</f>
        <v>2566412.66</v>
      </c>
      <c r="D21" s="31"/>
      <c r="E21" s="31"/>
      <c r="F21" s="32" t="s">
        <v>153</v>
      </c>
      <c r="G21" s="33">
        <f>SUM(G8:G20)</f>
        <v>2566412.66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93055555555556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171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75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172</v>
      </c>
      <c r="D8" s="19">
        <v>18300</v>
      </c>
      <c r="E8" s="21" t="s">
        <v>173</v>
      </c>
      <c r="F8" s="22">
        <f>G8/D8</f>
        <v>0.548672677595628</v>
      </c>
      <c r="G8" s="23">
        <v>10040.71</v>
      </c>
      <c r="H8" s="24"/>
    </row>
    <row r="9" ht="14.25" spans="1:8">
      <c r="A9" s="18" t="s">
        <v>136</v>
      </c>
      <c r="B9" s="19"/>
      <c r="C9" s="90" t="s">
        <v>174</v>
      </c>
      <c r="D9" s="19">
        <v>31810</v>
      </c>
      <c r="E9" s="21" t="s">
        <v>173</v>
      </c>
      <c r="F9" s="22">
        <f>G9/D9</f>
        <v>0.548672430053442</v>
      </c>
      <c r="G9" s="23">
        <v>17453.27</v>
      </c>
      <c r="H9" s="25"/>
    </row>
    <row r="10" spans="1:8">
      <c r="A10" s="18" t="s">
        <v>138</v>
      </c>
      <c r="B10" s="19"/>
      <c r="D10" s="19"/>
      <c r="E10" s="21"/>
      <c r="F10" s="22"/>
      <c r="G10" s="23"/>
      <c r="H10" s="25"/>
    </row>
    <row r="11" spans="1:8">
      <c r="A11" s="18" t="s">
        <v>140</v>
      </c>
      <c r="B11" s="21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27493.98</v>
      </c>
      <c r="D21" s="31"/>
      <c r="E21" s="31"/>
      <c r="F21" s="32" t="s">
        <v>153</v>
      </c>
      <c r="G21" s="33">
        <f>SUM(G8:G20)</f>
        <v>27493.98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93055555555556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175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35</v>
      </c>
      <c r="D5" s="7"/>
      <c r="E5" s="7"/>
      <c r="F5" s="7"/>
      <c r="G5" s="11" t="s">
        <v>124</v>
      </c>
      <c r="H5" s="12">
        <v>44783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176</v>
      </c>
      <c r="D8" s="19">
        <v>240000</v>
      </c>
      <c r="E8" s="21" t="s">
        <v>177</v>
      </c>
      <c r="F8" s="22">
        <f t="shared" ref="F8:F13" si="0">G8/D8</f>
        <v>0.0267</v>
      </c>
      <c r="G8" s="23">
        <v>6408</v>
      </c>
      <c r="H8" s="24"/>
    </row>
    <row r="9" ht="14.25" spans="1:8">
      <c r="A9" s="18" t="s">
        <v>136</v>
      </c>
      <c r="B9" s="19"/>
      <c r="C9" s="90" t="s">
        <v>178</v>
      </c>
      <c r="D9" s="19">
        <v>240000</v>
      </c>
      <c r="E9" s="21" t="s">
        <v>177</v>
      </c>
      <c r="F9" s="22">
        <f t="shared" si="0"/>
        <v>0.0815</v>
      </c>
      <c r="G9" s="23">
        <v>19560</v>
      </c>
      <c r="H9" s="25"/>
    </row>
    <row r="10" ht="14.25" spans="1:8">
      <c r="A10" s="18" t="s">
        <v>138</v>
      </c>
      <c r="B10" s="19"/>
      <c r="C10" s="90" t="s">
        <v>179</v>
      </c>
      <c r="D10" s="19">
        <v>240000</v>
      </c>
      <c r="E10" s="21" t="s">
        <v>177</v>
      </c>
      <c r="F10" s="22">
        <f t="shared" si="0"/>
        <v>0.0795</v>
      </c>
      <c r="G10" s="23">
        <v>19080</v>
      </c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spans="1:8">
      <c r="A12" s="18" t="s">
        <v>142</v>
      </c>
      <c r="B12" s="21"/>
      <c r="C12" s="60"/>
      <c r="D12" s="21"/>
      <c r="E12" s="21"/>
      <c r="F12" s="22"/>
      <c r="G12" s="23"/>
      <c r="H12" s="25"/>
    </row>
    <row r="13" spans="1:8">
      <c r="A13" s="18" t="s">
        <v>143</v>
      </c>
      <c r="B13" s="21"/>
      <c r="C13" s="6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 t="s">
        <v>146</v>
      </c>
      <c r="B16" s="21"/>
      <c r="C16" s="90"/>
      <c r="D16" s="21"/>
      <c r="E16" s="21"/>
      <c r="F16" s="22"/>
      <c r="G16" s="23"/>
      <c r="H16" s="25"/>
    </row>
    <row r="17" ht="14.25" spans="1:8">
      <c r="A17" s="18" t="s">
        <v>147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148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149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45048</v>
      </c>
      <c r="D21" s="31"/>
      <c r="E21" s="31"/>
      <c r="F21" s="32" t="s">
        <v>153</v>
      </c>
      <c r="G21" s="33">
        <f>SUM(G8:G20)</f>
        <v>45048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93055555555556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180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17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86"/>
      <c r="C8" s="91" t="s">
        <v>181</v>
      </c>
      <c r="D8" s="19">
        <v>1</v>
      </c>
      <c r="E8" s="21" t="s">
        <v>182</v>
      </c>
      <c r="F8" s="59">
        <f>G8/D8</f>
        <v>8849.56</v>
      </c>
      <c r="G8" s="23">
        <v>8849.56</v>
      </c>
      <c r="H8" s="24"/>
    </row>
    <row r="9" spans="1:8">
      <c r="A9" s="18" t="s">
        <v>136</v>
      </c>
      <c r="B9" s="19"/>
      <c r="C9" s="91" t="s">
        <v>183</v>
      </c>
      <c r="D9" s="19">
        <v>1</v>
      </c>
      <c r="E9" s="21" t="s">
        <v>182</v>
      </c>
      <c r="F9" s="59">
        <f>G9/D9</f>
        <v>8850.56</v>
      </c>
      <c r="G9" s="23">
        <v>8850.56</v>
      </c>
      <c r="H9" s="25"/>
    </row>
    <row r="10" spans="1:8">
      <c r="A10" s="18" t="s">
        <v>138</v>
      </c>
      <c r="B10" s="19"/>
      <c r="C10" s="91" t="s">
        <v>184</v>
      </c>
      <c r="D10" s="19">
        <v>1</v>
      </c>
      <c r="E10" s="21" t="s">
        <v>182</v>
      </c>
      <c r="F10" s="59">
        <f>G10/D10</f>
        <v>8851.56</v>
      </c>
      <c r="G10" s="23">
        <v>8851.56</v>
      </c>
      <c r="H10" s="25"/>
    </row>
    <row r="11" spans="1:8">
      <c r="A11" s="18" t="s">
        <v>140</v>
      </c>
      <c r="B11" s="21"/>
      <c r="C11" s="91" t="s">
        <v>185</v>
      </c>
      <c r="D11" s="19">
        <v>1</v>
      </c>
      <c r="E11" s="21" t="s">
        <v>182</v>
      </c>
      <c r="F11" s="59">
        <f>G11/D11</f>
        <v>8852.56</v>
      </c>
      <c r="G11" s="23">
        <v>8852.56</v>
      </c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 t="s">
        <v>146</v>
      </c>
      <c r="B16" s="21"/>
      <c r="C16" s="90"/>
      <c r="D16" s="21"/>
      <c r="E16" s="21"/>
      <c r="F16" s="22"/>
      <c r="G16" s="23"/>
      <c r="H16" s="25"/>
    </row>
    <row r="17" ht="14.25" spans="1:8">
      <c r="A17" s="18" t="s">
        <v>147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148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149</v>
      </c>
      <c r="B19" s="21"/>
      <c r="C19" s="90"/>
      <c r="D19" s="21"/>
      <c r="E19" s="21"/>
      <c r="F19" s="22"/>
      <c r="G19" s="23"/>
      <c r="H19" s="25"/>
    </row>
    <row r="20" ht="14.25" spans="1:8">
      <c r="A20" s="18" t="s">
        <v>150</v>
      </c>
      <c r="B20" s="21"/>
      <c r="C20" s="90"/>
      <c r="D20" s="21"/>
      <c r="E20" s="21"/>
      <c r="F20" s="22"/>
      <c r="G20" s="23"/>
      <c r="H20" s="25"/>
    </row>
    <row r="21" ht="14.25" spans="1:8">
      <c r="A21" s="18" t="s">
        <v>151</v>
      </c>
      <c r="B21" s="21"/>
      <c r="C21" s="90"/>
      <c r="D21" s="92"/>
      <c r="E21" s="21"/>
      <c r="F21" s="22"/>
      <c r="G21" s="93"/>
      <c r="H21" s="94"/>
    </row>
    <row r="22" spans="1:8">
      <c r="A22" s="28" t="s">
        <v>152</v>
      </c>
      <c r="B22" s="29"/>
      <c r="C22" s="30">
        <f>G22</f>
        <v>35404.24</v>
      </c>
      <c r="D22" s="31"/>
      <c r="E22" s="31"/>
      <c r="F22" s="32" t="s">
        <v>153</v>
      </c>
      <c r="G22" s="33">
        <f>SUM(G8:G21)</f>
        <v>35404.24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160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186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187</v>
      </c>
      <c r="D8" s="19">
        <v>2000</v>
      </c>
      <c r="E8" s="21" t="s">
        <v>188</v>
      </c>
      <c r="F8" s="22">
        <f>G8/D8</f>
        <v>15.929205</v>
      </c>
      <c r="G8" s="23">
        <v>31858.41</v>
      </c>
      <c r="H8" s="24"/>
    </row>
    <row r="9" ht="14.25" spans="1:8">
      <c r="A9" s="18" t="s">
        <v>136</v>
      </c>
      <c r="B9" s="19"/>
      <c r="C9" s="90" t="s">
        <v>189</v>
      </c>
      <c r="D9" s="19">
        <v>1000</v>
      </c>
      <c r="E9" s="21" t="s">
        <v>188</v>
      </c>
      <c r="F9" s="22">
        <f>G9/D9</f>
        <v>14.69027</v>
      </c>
      <c r="G9" s="23">
        <v>14690.27</v>
      </c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46548.68</v>
      </c>
      <c r="D21" s="31"/>
      <c r="E21" s="31"/>
      <c r="F21" s="32" t="s">
        <v>153</v>
      </c>
      <c r="G21" s="33">
        <f>SUM(G8:G20)</f>
        <v>46548.68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190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81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191</v>
      </c>
      <c r="D8" s="19">
        <v>2500</v>
      </c>
      <c r="E8" s="21" t="s">
        <v>192</v>
      </c>
      <c r="F8" s="22">
        <f>G8/D8</f>
        <v>2.212388</v>
      </c>
      <c r="G8" s="23">
        <v>5530.97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5530.97</v>
      </c>
      <c r="D21" s="31"/>
      <c r="E21" s="31"/>
      <c r="F21" s="32" t="s">
        <v>153</v>
      </c>
      <c r="G21" s="33">
        <f>SUM(G8:G20)</f>
        <v>5530.97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193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82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194</v>
      </c>
      <c r="D8" s="19">
        <v>1800</v>
      </c>
      <c r="E8" s="21" t="s">
        <v>173</v>
      </c>
      <c r="F8" s="22">
        <f>G8/D8</f>
        <v>0.97345</v>
      </c>
      <c r="G8" s="23">
        <v>1752.21</v>
      </c>
      <c r="H8" s="24"/>
    </row>
    <row r="9" ht="14.25" spans="1:8">
      <c r="A9" s="18" t="s">
        <v>136</v>
      </c>
      <c r="B9" s="19"/>
      <c r="C9" s="90" t="s">
        <v>195</v>
      </c>
      <c r="D9" s="19">
        <v>280</v>
      </c>
      <c r="E9" s="21" t="s">
        <v>173</v>
      </c>
      <c r="F9" s="22">
        <f>G9/D9</f>
        <v>1.76992857142857</v>
      </c>
      <c r="G9" s="23">
        <v>495.58</v>
      </c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2247.79</v>
      </c>
      <c r="D21" s="31"/>
      <c r="E21" s="31"/>
      <c r="F21" s="32" t="s">
        <v>153</v>
      </c>
      <c r="G21" s="33">
        <f>SUM(G8:G20)</f>
        <v>2247.79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196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31</v>
      </c>
      <c r="D5" s="7"/>
      <c r="E5" s="7"/>
      <c r="F5" s="7"/>
      <c r="G5" s="11" t="s">
        <v>124</v>
      </c>
      <c r="H5" s="12">
        <v>36768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197</v>
      </c>
      <c r="D8" s="19">
        <v>51048</v>
      </c>
      <c r="E8" s="21" t="s">
        <v>173</v>
      </c>
      <c r="F8" s="22">
        <f>G8/D8</f>
        <v>0.628318641278796</v>
      </c>
      <c r="G8" s="23">
        <v>32074.41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32074.41</v>
      </c>
      <c r="D21" s="31"/>
      <c r="E21" s="31"/>
      <c r="F21" s="32" t="s">
        <v>153</v>
      </c>
      <c r="G21" s="33">
        <f>SUM(G8:G20)</f>
        <v>32074.41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198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5</v>
      </c>
      <c r="D5" s="7"/>
      <c r="E5" s="7"/>
      <c r="F5" s="7"/>
      <c r="G5" s="11" t="s">
        <v>124</v>
      </c>
      <c r="H5" s="12">
        <v>44770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199</v>
      </c>
      <c r="D8" s="19">
        <v>3249.91</v>
      </c>
      <c r="E8" s="21" t="s">
        <v>200</v>
      </c>
      <c r="F8" s="22">
        <f>G8/D8</f>
        <v>29.2150459551188</v>
      </c>
      <c r="G8" s="23">
        <v>94946.27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94946.27</v>
      </c>
      <c r="D21" s="31"/>
      <c r="E21" s="31"/>
      <c r="F21" s="32" t="s">
        <v>153</v>
      </c>
      <c r="G21" s="33">
        <f>SUM(G8:G20)</f>
        <v>94946.27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201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72</v>
      </c>
      <c r="D5" s="7"/>
      <c r="E5" s="7"/>
      <c r="F5" s="7"/>
      <c r="G5" s="11" t="s">
        <v>124</v>
      </c>
      <c r="H5" s="12">
        <v>44798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202</v>
      </c>
      <c r="D8" s="19">
        <v>13000</v>
      </c>
      <c r="E8" s="21" t="s">
        <v>182</v>
      </c>
      <c r="F8" s="22">
        <f>G8/D8</f>
        <v>2.35398230769231</v>
      </c>
      <c r="G8" s="23">
        <v>30601.77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/>
      <c r="B16" s="21"/>
      <c r="C16" s="90"/>
      <c r="D16" s="21"/>
      <c r="E16" s="21"/>
      <c r="F16" s="22"/>
      <c r="G16" s="23"/>
      <c r="H16" s="25"/>
    </row>
    <row r="17" ht="14.25" spans="1:8">
      <c r="A17" s="18" t="s">
        <v>146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147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148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151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30601.77</v>
      </c>
      <c r="D21" s="31"/>
      <c r="E21" s="31"/>
      <c r="F21" s="32" t="s">
        <v>153</v>
      </c>
      <c r="G21" s="33">
        <f>SUM(G8:G20)</f>
        <v>30601.77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203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28</v>
      </c>
      <c r="D5" s="7"/>
      <c r="E5" s="7"/>
      <c r="F5" s="7"/>
      <c r="G5" s="11" t="s">
        <v>124</v>
      </c>
      <c r="H5" s="12">
        <v>44802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204</v>
      </c>
      <c r="D8" s="19">
        <v>700000</v>
      </c>
      <c r="E8" s="21" t="s">
        <v>135</v>
      </c>
      <c r="F8" s="22">
        <f>G8/D8</f>
        <v>0.0299</v>
      </c>
      <c r="G8" s="23">
        <v>20930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 t="s">
        <v>146</v>
      </c>
      <c r="B16" s="21"/>
      <c r="C16" s="90"/>
      <c r="D16" s="21"/>
      <c r="E16" s="21"/>
      <c r="F16" s="22"/>
      <c r="G16" s="23"/>
      <c r="H16" s="25"/>
    </row>
    <row r="17" ht="14.25" spans="1:8">
      <c r="A17" s="18" t="s">
        <v>147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148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149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20930</v>
      </c>
      <c r="D21" s="31"/>
      <c r="E21" s="31"/>
      <c r="F21" s="32" t="s">
        <v>153</v>
      </c>
      <c r="G21" s="33">
        <f>SUM(G8:G20)</f>
        <v>20930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2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205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78</v>
      </c>
      <c r="D5" s="7"/>
      <c r="E5" s="7"/>
      <c r="F5" s="7"/>
      <c r="G5" s="11" t="s">
        <v>124</v>
      </c>
      <c r="H5" s="12">
        <v>44795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4.25" spans="1:8">
      <c r="A8" s="18" t="s">
        <v>133</v>
      </c>
      <c r="B8" s="86"/>
      <c r="C8" s="90" t="s">
        <v>206</v>
      </c>
      <c r="D8" s="19">
        <v>128000</v>
      </c>
      <c r="E8" s="21" t="s">
        <v>173</v>
      </c>
      <c r="F8" s="22">
        <f t="shared" ref="F8:F10" si="0">G8/D8</f>
        <v>0.1814159375</v>
      </c>
      <c r="G8" s="23">
        <v>23221.24</v>
      </c>
      <c r="H8" s="24"/>
    </row>
    <row r="9" ht="14.25" spans="1:8">
      <c r="A9" s="18" t="s">
        <v>136</v>
      </c>
      <c r="B9" s="19"/>
      <c r="C9" s="90"/>
      <c r="D9" s="19"/>
      <c r="E9" s="21"/>
      <c r="F9" s="22"/>
      <c r="G9" s="23"/>
      <c r="H9" s="25"/>
    </row>
    <row r="10" ht="14.25" spans="1:8">
      <c r="A10" s="18" t="s">
        <v>138</v>
      </c>
      <c r="B10" s="19"/>
      <c r="C10" s="90"/>
      <c r="D10" s="19"/>
      <c r="E10" s="21"/>
      <c r="F10" s="22"/>
      <c r="G10" s="23"/>
      <c r="H10" s="25"/>
    </row>
    <row r="11" ht="14.25" spans="1:8">
      <c r="A11" s="18" t="s">
        <v>140</v>
      </c>
      <c r="B11" s="21"/>
      <c r="C11" s="90"/>
      <c r="D11" s="21"/>
      <c r="E11" s="21"/>
      <c r="F11" s="22"/>
      <c r="G11" s="23"/>
      <c r="H11" s="25"/>
    </row>
    <row r="12" ht="14.25" spans="1:8">
      <c r="A12" s="18" t="s">
        <v>142</v>
      </c>
      <c r="B12" s="21"/>
      <c r="C12" s="90"/>
      <c r="D12" s="21"/>
      <c r="E12" s="21"/>
      <c r="F12" s="22"/>
      <c r="G12" s="23"/>
      <c r="H12" s="25"/>
    </row>
    <row r="13" ht="14.25" spans="1:8">
      <c r="A13" s="18" t="s">
        <v>143</v>
      </c>
      <c r="B13" s="21"/>
      <c r="C13" s="90"/>
      <c r="D13" s="21"/>
      <c r="E13" s="21"/>
      <c r="F13" s="22"/>
      <c r="G13" s="23"/>
      <c r="H13" s="25"/>
    </row>
    <row r="14" ht="14.25" spans="1:8">
      <c r="A14" s="18" t="s">
        <v>144</v>
      </c>
      <c r="B14" s="21"/>
      <c r="C14" s="90"/>
      <c r="D14" s="21"/>
      <c r="E14" s="21"/>
      <c r="F14" s="22"/>
      <c r="G14" s="23"/>
      <c r="H14" s="25"/>
    </row>
    <row r="15" ht="14.25" spans="1:8">
      <c r="A15" s="18" t="s">
        <v>145</v>
      </c>
      <c r="B15" s="21"/>
      <c r="C15" s="90"/>
      <c r="D15" s="21"/>
      <c r="E15" s="21"/>
      <c r="F15" s="22"/>
      <c r="G15" s="23"/>
      <c r="H15" s="25"/>
    </row>
    <row r="16" ht="14.25" spans="1:8">
      <c r="A16" s="18" t="s">
        <v>146</v>
      </c>
      <c r="B16" s="21"/>
      <c r="C16" s="90"/>
      <c r="D16" s="21"/>
      <c r="E16" s="21"/>
      <c r="F16" s="22"/>
      <c r="G16" s="23"/>
      <c r="H16" s="25"/>
    </row>
    <row r="17" ht="14.25" spans="1:8">
      <c r="A17" s="18" t="s">
        <v>147</v>
      </c>
      <c r="B17" s="21"/>
      <c r="C17" s="90"/>
      <c r="D17" s="21"/>
      <c r="E17" s="21"/>
      <c r="F17" s="22"/>
      <c r="G17" s="23"/>
      <c r="H17" s="25"/>
    </row>
    <row r="18" ht="14.25" spans="1:8">
      <c r="A18" s="18" t="s">
        <v>148</v>
      </c>
      <c r="B18" s="21"/>
      <c r="C18" s="90"/>
      <c r="D18" s="21"/>
      <c r="E18" s="21"/>
      <c r="F18" s="22"/>
      <c r="G18" s="23"/>
      <c r="H18" s="25"/>
    </row>
    <row r="19" ht="14.25" spans="1:8">
      <c r="A19" s="18" t="s">
        <v>149</v>
      </c>
      <c r="B19" s="21"/>
      <c r="C19" s="90"/>
      <c r="D19" s="21"/>
      <c r="E19" s="21"/>
      <c r="F19" s="22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28" t="s">
        <v>152</v>
      </c>
      <c r="B21" s="29"/>
      <c r="C21" s="30">
        <f>G21</f>
        <v>23221.24</v>
      </c>
      <c r="D21" s="31"/>
      <c r="E21" s="31"/>
      <c r="F21" s="32" t="s">
        <v>153</v>
      </c>
      <c r="G21" s="33">
        <f>SUM(G8:G20)</f>
        <v>23221.24</v>
      </c>
      <c r="H21" s="34"/>
    </row>
    <row r="22" ht="23" customHeight="1" spans="1:8">
      <c r="A22" s="35" t="s">
        <v>154</v>
      </c>
      <c r="B22" s="36"/>
      <c r="C22" s="37"/>
      <c r="D22" s="38"/>
      <c r="E22" s="38"/>
      <c r="F22" s="39"/>
      <c r="G22" s="40" t="s">
        <v>160</v>
      </c>
      <c r="H22" s="41"/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120</v>
      </c>
      <c r="B3" s="3"/>
      <c r="C3" s="3"/>
      <c r="D3" s="3"/>
      <c r="E3" s="3"/>
      <c r="F3" s="3"/>
      <c r="G3" s="85" t="s">
        <v>207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83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86"/>
      <c r="C8" s="87" t="s">
        <v>208</v>
      </c>
      <c r="D8" s="19">
        <v>500</v>
      </c>
      <c r="E8" s="21" t="s">
        <v>173</v>
      </c>
      <c r="F8" s="88">
        <f>G8/D8</f>
        <v>53.09734</v>
      </c>
      <c r="G8" s="23">
        <v>26548.67</v>
      </c>
      <c r="H8" s="24"/>
    </row>
    <row r="9" spans="1:8">
      <c r="A9" s="18" t="s">
        <v>136</v>
      </c>
      <c r="B9" s="19"/>
      <c r="C9" s="87" t="s">
        <v>209</v>
      </c>
      <c r="D9" s="19">
        <v>500</v>
      </c>
      <c r="E9" s="21" t="s">
        <v>173</v>
      </c>
      <c r="F9" s="88">
        <f t="shared" ref="F9:F14" si="0">G9/D9</f>
        <v>44.24778</v>
      </c>
      <c r="G9" s="23">
        <v>22123.89</v>
      </c>
      <c r="H9" s="25"/>
    </row>
    <row r="10" spans="1:8">
      <c r="A10" s="18" t="s">
        <v>138</v>
      </c>
      <c r="B10" s="19"/>
      <c r="C10" s="87" t="s">
        <v>210</v>
      </c>
      <c r="D10" s="21">
        <v>300</v>
      </c>
      <c r="E10" s="21" t="s">
        <v>173</v>
      </c>
      <c r="F10" s="88">
        <f t="shared" si="0"/>
        <v>35.3982333333333</v>
      </c>
      <c r="G10" s="23">
        <v>10619.47</v>
      </c>
      <c r="H10" s="25"/>
    </row>
    <row r="11" spans="1:8">
      <c r="A11" s="18" t="s">
        <v>140</v>
      </c>
      <c r="B11" s="21"/>
      <c r="C11" s="87" t="s">
        <v>211</v>
      </c>
      <c r="D11" s="21">
        <v>400</v>
      </c>
      <c r="E11" s="21" t="s">
        <v>173</v>
      </c>
      <c r="F11" s="88">
        <f t="shared" si="0"/>
        <v>17.699125</v>
      </c>
      <c r="G11" s="23">
        <v>7079.65</v>
      </c>
      <c r="H11" s="25"/>
    </row>
    <row r="12" spans="1:8">
      <c r="A12" s="18" t="s">
        <v>142</v>
      </c>
      <c r="B12" s="21"/>
      <c r="C12" s="87" t="s">
        <v>212</v>
      </c>
      <c r="D12" s="21">
        <v>100</v>
      </c>
      <c r="E12" s="21" t="s">
        <v>135</v>
      </c>
      <c r="F12" s="88">
        <f t="shared" si="0"/>
        <v>70.7965</v>
      </c>
      <c r="G12" s="23">
        <v>7079.65</v>
      </c>
      <c r="H12" s="25"/>
    </row>
    <row r="13" spans="1:8">
      <c r="A13" s="18" t="s">
        <v>143</v>
      </c>
      <c r="B13" s="21"/>
      <c r="C13" s="87" t="s">
        <v>213</v>
      </c>
      <c r="D13" s="21">
        <v>80</v>
      </c>
      <c r="E13" s="21" t="s">
        <v>135</v>
      </c>
      <c r="F13" s="88">
        <f t="shared" si="0"/>
        <v>44.24775</v>
      </c>
      <c r="G13" s="23">
        <v>3539.82</v>
      </c>
      <c r="H13" s="25"/>
    </row>
    <row r="14" spans="1:8">
      <c r="A14" s="18" t="s">
        <v>144</v>
      </c>
      <c r="B14" s="21"/>
      <c r="C14" s="87" t="s">
        <v>214</v>
      </c>
      <c r="D14" s="68">
        <v>1</v>
      </c>
      <c r="E14" s="21" t="s">
        <v>135</v>
      </c>
      <c r="F14" s="88">
        <f t="shared" si="0"/>
        <v>66.37</v>
      </c>
      <c r="G14" s="89">
        <v>66.37</v>
      </c>
      <c r="H14" s="25"/>
    </row>
    <row r="15" spans="1:8">
      <c r="A15" s="18" t="s">
        <v>145</v>
      </c>
      <c r="B15" s="21"/>
      <c r="C15" s="87"/>
      <c r="D15" s="21"/>
      <c r="E15" s="21"/>
      <c r="F15" s="88"/>
      <c r="G15" s="23"/>
      <c r="H15" s="25"/>
    </row>
    <row r="16" spans="1:8">
      <c r="A16" s="18" t="s">
        <v>146</v>
      </c>
      <c r="B16" s="21"/>
      <c r="C16" s="87"/>
      <c r="D16" s="21"/>
      <c r="E16" s="21"/>
      <c r="F16" s="88"/>
      <c r="G16" s="23"/>
      <c r="H16" s="25"/>
    </row>
    <row r="17" spans="1:8">
      <c r="A17" s="18" t="s">
        <v>147</v>
      </c>
      <c r="B17" s="21"/>
      <c r="C17" s="87"/>
      <c r="D17" s="21"/>
      <c r="E17" s="21"/>
      <c r="F17" s="21"/>
      <c r="G17" s="23"/>
      <c r="H17" s="25"/>
    </row>
    <row r="18" spans="1:8">
      <c r="A18" s="18" t="s">
        <v>148</v>
      </c>
      <c r="B18" s="21"/>
      <c r="C18" s="21"/>
      <c r="D18" s="21"/>
      <c r="E18" s="21"/>
      <c r="F18" s="21"/>
      <c r="G18" s="23"/>
      <c r="H18" s="25"/>
    </row>
    <row r="19" spans="1:8">
      <c r="A19" s="18" t="s">
        <v>149</v>
      </c>
      <c r="B19" s="21"/>
      <c r="C19" s="21"/>
      <c r="D19" s="21"/>
      <c r="E19" s="21"/>
      <c r="F19" s="21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77057.52</v>
      </c>
      <c r="D22" s="31"/>
      <c r="E22" s="31"/>
      <c r="F22" s="32" t="s">
        <v>153</v>
      </c>
      <c r="G22" s="33">
        <f>SUM(G8:G21)</f>
        <v>77057.52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160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F12" sqref="F12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215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84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216</v>
      </c>
      <c r="D8" s="21">
        <v>77</v>
      </c>
      <c r="E8" s="20" t="s">
        <v>173</v>
      </c>
      <c r="F8" s="59">
        <f>G8/D8</f>
        <v>453.970779220779</v>
      </c>
      <c r="G8" s="23">
        <v>34955.75</v>
      </c>
      <c r="H8" s="24"/>
    </row>
    <row r="9" spans="1:8">
      <c r="A9" s="18" t="s">
        <v>136</v>
      </c>
      <c r="B9" s="19"/>
      <c r="C9" s="20"/>
      <c r="D9" s="19"/>
      <c r="E9" s="20"/>
      <c r="F9" s="59"/>
      <c r="G9" s="23"/>
      <c r="H9" s="25"/>
    </row>
    <row r="10" spans="1:8">
      <c r="A10" s="18" t="s">
        <v>138</v>
      </c>
      <c r="B10" s="19"/>
      <c r="C10" s="20"/>
      <c r="D10" s="19"/>
      <c r="E10" s="20"/>
      <c r="F10" s="59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59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59"/>
      <c r="G12" s="23"/>
      <c r="H12" s="25" t="s">
        <v>217</v>
      </c>
    </row>
    <row r="13" spans="1:8">
      <c r="A13" s="18" t="s">
        <v>143</v>
      </c>
      <c r="B13" s="21"/>
      <c r="C13" s="20"/>
      <c r="D13" s="21"/>
      <c r="E13" s="20"/>
      <c r="F13" s="59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59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59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59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59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59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59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34955.75</v>
      </c>
      <c r="D22" s="31"/>
      <c r="E22" s="31"/>
      <c r="F22" s="32" t="s">
        <v>153</v>
      </c>
      <c r="G22" s="33">
        <f>SUM(G8:G21)</f>
        <v>34955.75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3"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218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20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219</v>
      </c>
      <c r="D8" s="21">
        <v>300</v>
      </c>
      <c r="E8" s="20" t="s">
        <v>163</v>
      </c>
      <c r="F8" s="27">
        <f t="shared" ref="F8:F10" si="0">G8/D8</f>
        <v>191.150433333333</v>
      </c>
      <c r="G8" s="23">
        <v>57345.13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57345.13</v>
      </c>
      <c r="D22" s="31"/>
      <c r="E22" s="31"/>
      <c r="F22" s="32" t="s">
        <v>153</v>
      </c>
      <c r="G22" s="33">
        <f>SUM(G8:G21)</f>
        <v>57345.13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167</v>
      </c>
      <c r="D8" s="21">
        <v>2796.625</v>
      </c>
      <c r="E8" s="20" t="s">
        <v>163</v>
      </c>
      <c r="F8" s="27">
        <f t="shared" ref="F8:F10" si="0">G8/D8</f>
        <v>44.9666294193894</v>
      </c>
      <c r="G8" s="23">
        <v>125754.8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125754.8</v>
      </c>
      <c r="D22" s="31"/>
      <c r="E22" s="31"/>
      <c r="F22" s="32" t="s">
        <v>153</v>
      </c>
      <c r="G22" s="33">
        <f>SUM(G8:G21)</f>
        <v>125754.8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49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137</v>
      </c>
      <c r="D8" s="21">
        <v>87800</v>
      </c>
      <c r="E8" s="20" t="s">
        <v>135</v>
      </c>
      <c r="F8" s="27">
        <f>G8/D8</f>
        <v>0.530973462414579</v>
      </c>
      <c r="G8" s="23">
        <v>46619.47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46619.47</v>
      </c>
      <c r="D22" s="31"/>
      <c r="E22" s="31"/>
      <c r="F22" s="32" t="s">
        <v>153</v>
      </c>
      <c r="G22" s="33">
        <f>SUM(G8:G21)</f>
        <v>46619.47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222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73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223</v>
      </c>
      <c r="D8" s="21">
        <v>200</v>
      </c>
      <c r="E8" s="20"/>
      <c r="F8" s="27">
        <f>G8/D8</f>
        <v>10.61945</v>
      </c>
      <c r="G8" s="23">
        <v>2123.89</v>
      </c>
      <c r="H8" s="24"/>
    </row>
    <row r="9" spans="1:8">
      <c r="A9" s="18" t="s">
        <v>136</v>
      </c>
      <c r="B9" s="19"/>
      <c r="C9" s="20" t="s">
        <v>224</v>
      </c>
      <c r="D9" s="19">
        <v>300</v>
      </c>
      <c r="E9" s="20"/>
      <c r="F9" s="27">
        <f>G9/D9</f>
        <v>4.42476666666667</v>
      </c>
      <c r="G9" s="23">
        <v>1327.43</v>
      </c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3451.32</v>
      </c>
      <c r="D22" s="31"/>
      <c r="E22" s="31"/>
      <c r="F22" s="32" t="s">
        <v>153</v>
      </c>
      <c r="G22" s="33">
        <f>SUM(G8:G21)</f>
        <v>3451.32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57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204</v>
      </c>
      <c r="D8" s="21">
        <v>516000</v>
      </c>
      <c r="E8" s="20" t="s">
        <v>135</v>
      </c>
      <c r="F8" s="27">
        <f>G8/D8</f>
        <v>0.0299</v>
      </c>
      <c r="G8" s="23">
        <v>15428.4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15428.4</v>
      </c>
      <c r="D22" s="31"/>
      <c r="E22" s="31"/>
      <c r="F22" s="32" t="s">
        <v>153</v>
      </c>
      <c r="G22" s="33">
        <f>SUM(G8:G21)</f>
        <v>15428.4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85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227</v>
      </c>
      <c r="D8" s="21">
        <v>12200</v>
      </c>
      <c r="E8" s="20" t="s">
        <v>173</v>
      </c>
      <c r="F8" s="27">
        <f>G8/D8</f>
        <v>0.867256557377049</v>
      </c>
      <c r="G8" s="23">
        <v>10580.53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10580.53</v>
      </c>
      <c r="D22" s="31"/>
      <c r="E22" s="31"/>
      <c r="F22" s="32" t="s">
        <v>153</v>
      </c>
      <c r="G22" s="33">
        <f>SUM(G8:G21)</f>
        <v>10580.53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80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219</v>
      </c>
      <c r="D8" s="21">
        <v>40</v>
      </c>
      <c r="E8" s="20" t="s">
        <v>163</v>
      </c>
      <c r="F8" s="27">
        <f>G8/D8</f>
        <v>141.593</v>
      </c>
      <c r="G8" s="23">
        <v>5663.72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5663.72</v>
      </c>
      <c r="D22" s="31"/>
      <c r="E22" s="31"/>
      <c r="F22" s="32" t="s">
        <v>153</v>
      </c>
      <c r="G22" s="33">
        <f>SUM(G8:G21)</f>
        <v>5663.72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E11" sqref="E11"/>
    </sheetView>
  </sheetViews>
  <sheetFormatPr defaultColWidth="9.64166666666667" defaultRowHeight="13.5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229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86</v>
      </c>
      <c r="D5" s="7"/>
      <c r="E5" s="7"/>
      <c r="F5" s="7"/>
      <c r="G5" s="11" t="s">
        <v>124</v>
      </c>
      <c r="H5" s="70">
        <v>46199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66" t="s">
        <v>230</v>
      </c>
      <c r="D8" s="19">
        <v>2</v>
      </c>
      <c r="E8" s="20" t="s">
        <v>231</v>
      </c>
      <c r="F8" s="59">
        <f>G8/D8</f>
        <v>101769.91</v>
      </c>
      <c r="G8" s="23">
        <v>203539.82</v>
      </c>
      <c r="H8" s="24" t="s">
        <v>232</v>
      </c>
    </row>
    <row r="9" spans="1:8">
      <c r="A9" s="18" t="s">
        <v>136</v>
      </c>
      <c r="B9" s="19"/>
      <c r="C9" s="66" t="s">
        <v>233</v>
      </c>
      <c r="D9" s="19">
        <v>1</v>
      </c>
      <c r="E9" s="20" t="s">
        <v>231</v>
      </c>
      <c r="F9" s="59">
        <f>G9/D9</f>
        <v>132743.36</v>
      </c>
      <c r="G9" s="23">
        <v>132743.36</v>
      </c>
      <c r="H9" s="24" t="s">
        <v>234</v>
      </c>
    </row>
    <row r="10" spans="1:8">
      <c r="A10" s="18" t="s">
        <v>138</v>
      </c>
      <c r="B10" s="19"/>
      <c r="C10" s="20"/>
      <c r="D10" s="19"/>
      <c r="E10" s="21"/>
      <c r="F10" s="59"/>
      <c r="G10" s="23"/>
      <c r="H10" s="24"/>
    </row>
    <row r="11" spans="1:8">
      <c r="A11" s="18" t="s">
        <v>140</v>
      </c>
      <c r="B11" s="21"/>
      <c r="C11" s="20"/>
      <c r="D11" s="19"/>
      <c r="E11" s="21"/>
      <c r="F11" s="59"/>
      <c r="G11" s="23"/>
      <c r="H11" s="25"/>
    </row>
    <row r="12" spans="1:8">
      <c r="A12" s="18" t="s">
        <v>142</v>
      </c>
      <c r="B12" s="21"/>
      <c r="C12" s="20"/>
      <c r="D12" s="19"/>
      <c r="E12" s="21"/>
      <c r="F12" s="59"/>
      <c r="G12" s="23"/>
      <c r="H12" s="25"/>
    </row>
    <row r="13" spans="1:8">
      <c r="A13" s="18" t="s">
        <v>143</v>
      </c>
      <c r="B13" s="21"/>
      <c r="C13" s="20"/>
      <c r="D13" s="19"/>
      <c r="E13" s="21"/>
      <c r="F13" s="59"/>
      <c r="G13" s="23"/>
      <c r="H13" s="25"/>
    </row>
    <row r="14" spans="1:8">
      <c r="A14" s="18" t="s">
        <v>144</v>
      </c>
      <c r="B14" s="21"/>
      <c r="C14" s="20"/>
      <c r="D14" s="19"/>
      <c r="E14" s="21"/>
      <c r="F14" s="59"/>
      <c r="G14" s="23"/>
      <c r="H14" s="25"/>
    </row>
    <row r="15" spans="1:8">
      <c r="A15" s="18" t="s">
        <v>145</v>
      </c>
      <c r="B15" s="21"/>
      <c r="C15" s="20"/>
      <c r="D15" s="19"/>
      <c r="E15" s="21"/>
      <c r="F15" s="59"/>
      <c r="G15" s="23"/>
      <c r="H15" s="25"/>
    </row>
    <row r="16" spans="1:8">
      <c r="A16" s="18" t="s">
        <v>146</v>
      </c>
      <c r="B16" s="21"/>
      <c r="C16" s="20"/>
      <c r="D16" s="19"/>
      <c r="E16" s="21"/>
      <c r="F16" s="59"/>
      <c r="G16" s="23"/>
      <c r="H16" s="25"/>
    </row>
    <row r="17" spans="1:9">
      <c r="A17" s="18" t="s">
        <v>147</v>
      </c>
      <c r="B17" s="21"/>
      <c r="C17" s="20"/>
      <c r="D17" s="19"/>
      <c r="E17" s="21"/>
      <c r="F17" s="59"/>
      <c r="G17" s="23"/>
      <c r="H17" s="25"/>
    </row>
    <row r="18" spans="1:9">
      <c r="A18" s="18" t="s">
        <v>148</v>
      </c>
      <c r="B18" s="21"/>
      <c r="C18" s="20"/>
      <c r="D18" s="19"/>
      <c r="E18" s="21"/>
      <c r="F18" s="59"/>
      <c r="G18" s="23"/>
      <c r="H18" s="25"/>
    </row>
    <row r="19" spans="1:9">
      <c r="A19" s="18" t="s">
        <v>149</v>
      </c>
      <c r="B19" s="21"/>
      <c r="C19" s="20"/>
      <c r="D19" s="19"/>
      <c r="E19" s="21"/>
      <c r="F19" s="59"/>
      <c r="G19" s="23"/>
      <c r="H19" s="25"/>
    </row>
    <row r="20" spans="1:9">
      <c r="A20" s="18" t="s">
        <v>150</v>
      </c>
      <c r="B20" s="21"/>
      <c r="C20" s="20"/>
      <c r="D20" s="21"/>
      <c r="E20" s="20"/>
      <c r="F20" s="27"/>
      <c r="G20" s="23"/>
      <c r="H20" s="25"/>
    </row>
    <row r="21" spans="1:9">
      <c r="A21" s="28" t="s">
        <v>152</v>
      </c>
      <c r="B21" s="29"/>
      <c r="C21" s="30">
        <f>G21</f>
        <v>336283.18</v>
      </c>
      <c r="D21" s="31"/>
      <c r="E21" s="31"/>
      <c r="F21" s="32" t="s">
        <v>153</v>
      </c>
      <c r="G21" s="33">
        <f>SUM(G8:G20)</f>
        <v>336283.18</v>
      </c>
      <c r="H21" s="34"/>
    </row>
    <row r="22" ht="23" customHeight="1" spans="1:9">
      <c r="A22" s="35" t="s">
        <v>154</v>
      </c>
      <c r="B22" s="36"/>
      <c r="C22" s="37"/>
      <c r="D22" s="38"/>
      <c r="E22" s="38"/>
      <c r="F22" s="39"/>
      <c r="G22" s="40" t="s">
        <v>155</v>
      </c>
      <c r="H22" s="41"/>
    </row>
    <row r="23" spans="1:9">
      <c r="I23" t="s">
        <v>235</v>
      </c>
    </row>
  </sheetData>
  <mergeCells count="13">
    <mergeCell ref="A1:H1"/>
    <mergeCell ref="A2:H2"/>
    <mergeCell ref="A3:F3"/>
    <mergeCell ref="G3:H3"/>
    <mergeCell ref="A4:B4"/>
    <mergeCell ref="C4:F4"/>
    <mergeCell ref="C21:E21"/>
    <mergeCell ref="G21:H21"/>
    <mergeCell ref="A22:B22"/>
    <mergeCell ref="C22:F22"/>
    <mergeCell ref="G22:H22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11" sqref="G11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236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87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66" t="s">
        <v>237</v>
      </c>
      <c r="D8" s="83">
        <v>1</v>
      </c>
      <c r="E8" s="66" t="s">
        <v>231</v>
      </c>
      <c r="F8" s="84">
        <f>G8/D8</f>
        <v>126213.59</v>
      </c>
      <c r="G8" s="75">
        <v>126213.59</v>
      </c>
      <c r="H8" s="24" t="s">
        <v>234</v>
      </c>
    </row>
    <row r="9" spans="1:8">
      <c r="A9" s="18" t="s">
        <v>136</v>
      </c>
      <c r="B9" s="19"/>
      <c r="C9" s="66" t="s">
        <v>238</v>
      </c>
      <c r="D9" s="83">
        <v>1</v>
      </c>
      <c r="E9" s="66" t="s">
        <v>231</v>
      </c>
      <c r="F9" s="84">
        <f>G9/D9</f>
        <v>145631.07</v>
      </c>
      <c r="G9" s="75">
        <v>145631.07</v>
      </c>
      <c r="H9" s="24" t="s">
        <v>232</v>
      </c>
    </row>
    <row r="10" spans="1:8">
      <c r="A10" s="18" t="s">
        <v>138</v>
      </c>
      <c r="B10" s="21"/>
      <c r="C10" s="66" t="s">
        <v>233</v>
      </c>
      <c r="D10" s="83">
        <v>1</v>
      </c>
      <c r="E10" s="66" t="s">
        <v>231</v>
      </c>
      <c r="F10" s="84">
        <f>G10/D10</f>
        <v>67961.17</v>
      </c>
      <c r="G10" s="75">
        <v>67961.17</v>
      </c>
      <c r="H10" s="25" t="s">
        <v>234</v>
      </c>
    </row>
    <row r="11" spans="1:8">
      <c r="A11" s="18" t="s">
        <v>140</v>
      </c>
      <c r="B11" s="21"/>
      <c r="C11" s="66"/>
      <c r="D11" s="83"/>
      <c r="E11" s="66"/>
      <c r="F11" s="84"/>
      <c r="G11" s="75"/>
      <c r="H11" s="25"/>
    </row>
    <row r="12" spans="1:8">
      <c r="A12" s="18" t="s">
        <v>142</v>
      </c>
      <c r="B12" s="21"/>
      <c r="C12" s="66"/>
      <c r="D12" s="83"/>
      <c r="E12" s="66"/>
      <c r="F12" s="84"/>
      <c r="G12" s="75"/>
      <c r="H12" s="25"/>
    </row>
    <row r="13" spans="1:8">
      <c r="A13" s="18" t="s">
        <v>143</v>
      </c>
      <c r="B13" s="21"/>
      <c r="C13" s="66"/>
      <c r="D13" s="83"/>
      <c r="E13" s="66"/>
      <c r="F13" s="84"/>
      <c r="G13" s="75"/>
      <c r="H13" s="25"/>
    </row>
    <row r="14" spans="1:8">
      <c r="A14" s="18" t="s">
        <v>144</v>
      </c>
      <c r="B14" s="21"/>
      <c r="C14" s="20"/>
      <c r="D14" s="83"/>
      <c r="E14" s="66"/>
      <c r="F14" s="84"/>
      <c r="G14" s="75"/>
      <c r="H14" s="25"/>
    </row>
    <row r="15" spans="1:8">
      <c r="A15" s="18" t="s">
        <v>145</v>
      </c>
      <c r="B15" s="21"/>
      <c r="C15" s="20"/>
      <c r="D15" s="83"/>
      <c r="E15" s="66"/>
      <c r="F15" s="84"/>
      <c r="G15" s="75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75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75"/>
      <c r="H17" s="25"/>
    </row>
    <row r="18" spans="1:8">
      <c r="A18" s="18" t="s">
        <v>148</v>
      </c>
      <c r="B18" s="21"/>
      <c r="C18" s="20"/>
      <c r="D18" s="21"/>
      <c r="E18" s="21"/>
      <c r="F18" s="21"/>
      <c r="G18" s="23"/>
      <c r="H18" s="25"/>
    </row>
    <row r="19" spans="1:8">
      <c r="A19" s="18" t="s">
        <v>149</v>
      </c>
      <c r="B19" s="21"/>
      <c r="C19" s="20"/>
      <c r="D19" s="21"/>
      <c r="E19" s="21"/>
      <c r="F19" s="21"/>
      <c r="G19" s="23"/>
      <c r="H19" s="25"/>
    </row>
    <row r="20" spans="1:8">
      <c r="A20" s="28" t="s">
        <v>152</v>
      </c>
      <c r="B20" s="29"/>
      <c r="C20" s="30">
        <f>G20</f>
        <v>339805.83</v>
      </c>
      <c r="D20" s="31"/>
      <c r="E20" s="31"/>
      <c r="F20" s="32" t="s">
        <v>153</v>
      </c>
      <c r="G20" s="33">
        <f>SUM(G8:G19)</f>
        <v>339805.83</v>
      </c>
      <c r="H20" s="34"/>
    </row>
    <row r="21" ht="23" customHeight="1" spans="1:8">
      <c r="A21" s="35" t="s">
        <v>154</v>
      </c>
      <c r="B21" s="36"/>
      <c r="C21" s="37"/>
      <c r="D21" s="38"/>
      <c r="E21" s="38"/>
      <c r="F21" s="39"/>
      <c r="G21" s="40" t="s">
        <v>155</v>
      </c>
      <c r="H21" s="41"/>
    </row>
  </sheetData>
  <mergeCells count="13">
    <mergeCell ref="A1:H1"/>
    <mergeCell ref="A2:H2"/>
    <mergeCell ref="A3:F3"/>
    <mergeCell ref="G3:H3"/>
    <mergeCell ref="A4:B4"/>
    <mergeCell ref="C4:F4"/>
    <mergeCell ref="C20:E20"/>
    <mergeCell ref="G20:H20"/>
    <mergeCell ref="A21:B21"/>
    <mergeCell ref="C21:F21"/>
    <mergeCell ref="G21:H21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41" sqref="G41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239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88</v>
      </c>
      <c r="D5" s="7"/>
      <c r="E5" s="7"/>
      <c r="F5" s="7"/>
      <c r="G5" s="11" t="s">
        <v>124</v>
      </c>
      <c r="H5" s="12">
        <v>44725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240</v>
      </c>
      <c r="D8" s="21">
        <v>300.58</v>
      </c>
      <c r="E8" s="20" t="s">
        <v>163</v>
      </c>
      <c r="F8" s="27">
        <f>G8/D8</f>
        <v>69.2300884955752</v>
      </c>
      <c r="G8" s="23">
        <v>20809.18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20809.18</v>
      </c>
      <c r="D22" s="31"/>
      <c r="E22" s="31"/>
      <c r="F22" s="32" t="s">
        <v>153</v>
      </c>
      <c r="G22" s="33">
        <f>SUM(G8:G21)</f>
        <v>20809.18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D29" sqref="D29"/>
    </sheetView>
  </sheetViews>
  <sheetFormatPr defaultColWidth="9.64166666666667" defaultRowHeight="13.5" outlineLevelCol="7"/>
  <cols>
    <col min="1" max="1" width="7.13333333333333" customWidth="1"/>
    <col min="2" max="2" width="9.38333333333333" customWidth="1"/>
    <col min="3" max="3" width="29.8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9.63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37" customHeight="1" spans="1:8">
      <c r="A3" s="3" t="s">
        <v>120</v>
      </c>
      <c r="B3" s="3"/>
      <c r="C3" s="3"/>
      <c r="D3" s="3"/>
      <c r="E3" s="3"/>
      <c r="F3" s="3"/>
      <c r="G3" s="81" t="s">
        <v>241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89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5" customHeight="1" spans="1:8">
      <c r="A8" s="18" t="s">
        <v>133</v>
      </c>
      <c r="B8" s="19"/>
      <c r="C8" s="20" t="s">
        <v>242</v>
      </c>
      <c r="D8" s="21">
        <v>1</v>
      </c>
      <c r="E8" s="20" t="s">
        <v>231</v>
      </c>
      <c r="F8" s="59">
        <v>123893.81</v>
      </c>
      <c r="G8" s="23">
        <f>D8*F8</f>
        <v>123893.81</v>
      </c>
      <c r="H8" s="25" t="s">
        <v>243</v>
      </c>
    </row>
    <row r="9" ht="15" customHeight="1" spans="1:8">
      <c r="A9" s="18" t="s">
        <v>136</v>
      </c>
      <c r="B9" s="19"/>
      <c r="C9" s="20" t="s">
        <v>242</v>
      </c>
      <c r="D9" s="21">
        <v>1</v>
      </c>
      <c r="E9" s="20" t="s">
        <v>231</v>
      </c>
      <c r="F9" s="59">
        <v>123893.81</v>
      </c>
      <c r="G9" s="23">
        <f>D9*F9</f>
        <v>123893.81</v>
      </c>
      <c r="H9" s="25" t="s">
        <v>243</v>
      </c>
    </row>
    <row r="10" ht="15" customHeight="1" spans="1:8">
      <c r="A10" s="18" t="s">
        <v>138</v>
      </c>
      <c r="B10" s="19"/>
      <c r="C10" s="20"/>
      <c r="D10" s="21"/>
      <c r="E10" s="20"/>
      <c r="F10" s="59"/>
      <c r="G10" s="23"/>
      <c r="H10" s="25"/>
    </row>
    <row r="11" ht="15" customHeight="1" spans="1:8">
      <c r="A11" s="18" t="s">
        <v>140</v>
      </c>
      <c r="B11" s="21"/>
      <c r="C11" s="60"/>
      <c r="D11" s="60"/>
      <c r="E11" s="60"/>
      <c r="F11" s="60"/>
      <c r="G11" s="60"/>
      <c r="H11" s="60"/>
    </row>
    <row r="12" ht="15" customHeight="1" spans="1:8">
      <c r="A12" s="18" t="s">
        <v>142</v>
      </c>
      <c r="B12" s="21"/>
      <c r="C12" s="60"/>
      <c r="D12" s="60"/>
      <c r="E12" s="60"/>
      <c r="F12" s="60"/>
      <c r="G12" s="60"/>
      <c r="H12" s="60"/>
    </row>
    <row r="13" ht="15" customHeight="1" spans="1:8">
      <c r="A13" s="18" t="s">
        <v>143</v>
      </c>
      <c r="B13" s="21"/>
      <c r="C13" s="20"/>
      <c r="D13" s="21"/>
      <c r="E13" s="20"/>
      <c r="F13" s="59"/>
      <c r="G13" s="23"/>
      <c r="H13" s="82"/>
    </row>
    <row r="14" ht="15" customHeight="1" spans="1:8">
      <c r="A14" s="18" t="s">
        <v>144</v>
      </c>
      <c r="B14" s="21"/>
      <c r="C14" s="20"/>
      <c r="D14" s="21"/>
      <c r="E14" s="20"/>
      <c r="F14" s="59"/>
      <c r="G14" s="23"/>
      <c r="H14" s="25"/>
    </row>
    <row r="15" ht="15" customHeight="1" spans="1:8">
      <c r="A15" s="18" t="s">
        <v>148</v>
      </c>
      <c r="B15" s="21"/>
      <c r="C15" s="20"/>
      <c r="D15" s="21"/>
      <c r="E15" s="20"/>
      <c r="F15" s="59"/>
      <c r="G15" s="23"/>
      <c r="H15" s="25"/>
    </row>
    <row r="16" ht="15" customHeight="1" spans="1:8">
      <c r="A16" s="18" t="s">
        <v>149</v>
      </c>
      <c r="B16" s="21"/>
      <c r="C16" s="20"/>
      <c r="D16" s="21"/>
      <c r="E16" s="20"/>
      <c r="F16" s="59"/>
      <c r="G16" s="23"/>
      <c r="H16" s="25"/>
    </row>
    <row r="17" ht="15" customHeight="1" spans="1:8">
      <c r="A17" s="18" t="s">
        <v>150</v>
      </c>
      <c r="B17" s="21"/>
      <c r="C17" s="20"/>
      <c r="D17" s="21"/>
      <c r="E17" s="21"/>
      <c r="F17" s="59"/>
      <c r="G17" s="23"/>
      <c r="H17" s="25"/>
    </row>
    <row r="18" ht="15" customHeight="1" spans="1:8">
      <c r="A18" s="18" t="s">
        <v>151</v>
      </c>
      <c r="B18" s="21"/>
      <c r="C18" s="20"/>
      <c r="D18" s="21"/>
      <c r="E18" s="21"/>
      <c r="F18" s="59"/>
      <c r="G18" s="23"/>
      <c r="H18" s="25"/>
    </row>
    <row r="19" spans="1:8">
      <c r="A19" s="28" t="s">
        <v>152</v>
      </c>
      <c r="B19" s="29"/>
      <c r="C19" s="30">
        <f>G19</f>
        <v>247787.62</v>
      </c>
      <c r="D19" s="31"/>
      <c r="E19" s="31"/>
      <c r="F19" s="32" t="s">
        <v>153</v>
      </c>
      <c r="G19" s="33">
        <f>SUM(G8:G18)</f>
        <v>247787.62</v>
      </c>
      <c r="H19" s="34"/>
    </row>
    <row r="20" ht="23" customHeight="1" spans="1:8">
      <c r="A20" s="35" t="s">
        <v>154</v>
      </c>
      <c r="B20" s="36"/>
      <c r="C20" s="37"/>
      <c r="D20" s="38"/>
      <c r="E20" s="38"/>
      <c r="F20" s="39"/>
      <c r="G20" s="40" t="s">
        <v>155</v>
      </c>
      <c r="H20" s="41"/>
    </row>
  </sheetData>
  <mergeCells count="13">
    <mergeCell ref="A1:H1"/>
    <mergeCell ref="A2:H2"/>
    <mergeCell ref="A3:F3"/>
    <mergeCell ref="G3:H3"/>
    <mergeCell ref="A4:B4"/>
    <mergeCell ref="C4:F4"/>
    <mergeCell ref="C19:E19"/>
    <mergeCell ref="G19:H19"/>
    <mergeCell ref="A20:B20"/>
    <mergeCell ref="C20:F20"/>
    <mergeCell ref="G20:H20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30" zoomScaleNormal="130" workbookViewId="0">
      <selection activeCell="H12" sqref="H12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244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90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245</v>
      </c>
      <c r="D8" s="21">
        <v>1</v>
      </c>
      <c r="E8" s="20" t="s">
        <v>182</v>
      </c>
      <c r="F8" s="59">
        <v>26548.67</v>
      </c>
      <c r="G8" s="23">
        <f>D8*F8</f>
        <v>26548.67</v>
      </c>
      <c r="H8" s="24" t="s">
        <v>243</v>
      </c>
    </row>
    <row r="9" spans="1:8">
      <c r="A9" s="18" t="s">
        <v>136</v>
      </c>
      <c r="B9" s="19"/>
      <c r="C9" s="20" t="s">
        <v>246</v>
      </c>
      <c r="D9" s="21">
        <v>1</v>
      </c>
      <c r="E9" s="20" t="s">
        <v>182</v>
      </c>
      <c r="F9" s="59">
        <v>22123.89</v>
      </c>
      <c r="G9" s="23">
        <f t="shared" ref="G9:G17" si="0">D9*F9</f>
        <v>22123.89</v>
      </c>
      <c r="H9" s="25" t="s">
        <v>247</v>
      </c>
    </row>
    <row r="10" spans="1:8">
      <c r="A10" s="18" t="s">
        <v>138</v>
      </c>
      <c r="B10" s="19"/>
      <c r="C10" s="20" t="s">
        <v>248</v>
      </c>
      <c r="D10" s="21">
        <v>1</v>
      </c>
      <c r="E10" s="20" t="s">
        <v>182</v>
      </c>
      <c r="F10" s="59">
        <v>23008.85</v>
      </c>
      <c r="G10" s="23">
        <f t="shared" si="0"/>
        <v>23008.85</v>
      </c>
      <c r="H10" s="25" t="s">
        <v>247</v>
      </c>
    </row>
    <row r="11" spans="1:8">
      <c r="A11" s="18" t="s">
        <v>140</v>
      </c>
      <c r="B11" s="21"/>
      <c r="C11" s="20" t="s">
        <v>249</v>
      </c>
      <c r="D11" s="21">
        <v>1</v>
      </c>
      <c r="E11" s="20" t="s">
        <v>182</v>
      </c>
      <c r="F11" s="59">
        <v>26548.67</v>
      </c>
      <c r="G11" s="23">
        <f t="shared" si="0"/>
        <v>26548.67</v>
      </c>
      <c r="H11" s="25" t="s">
        <v>247</v>
      </c>
    </row>
    <row r="12" spans="1:8">
      <c r="A12" s="18" t="s">
        <v>142</v>
      </c>
      <c r="B12" s="21"/>
      <c r="C12" s="20" t="s">
        <v>250</v>
      </c>
      <c r="D12" s="21">
        <v>2</v>
      </c>
      <c r="E12" s="20" t="s">
        <v>182</v>
      </c>
      <c r="F12" s="59">
        <v>24778.76</v>
      </c>
      <c r="G12" s="23">
        <f t="shared" si="0"/>
        <v>49557.52</v>
      </c>
      <c r="H12" s="24" t="s">
        <v>243</v>
      </c>
    </row>
    <row r="13" spans="1:8">
      <c r="A13" s="18" t="s">
        <v>143</v>
      </c>
      <c r="B13" s="21"/>
      <c r="C13" s="20" t="s">
        <v>251</v>
      </c>
      <c r="D13" s="21">
        <v>2</v>
      </c>
      <c r="E13" s="20" t="s">
        <v>182</v>
      </c>
      <c r="F13" s="59">
        <v>44247.79</v>
      </c>
      <c r="G13" s="23">
        <f t="shared" si="0"/>
        <v>88495.58</v>
      </c>
      <c r="H13" s="24" t="s">
        <v>243</v>
      </c>
    </row>
    <row r="14" spans="1:8">
      <c r="A14" s="18" t="s">
        <v>144</v>
      </c>
      <c r="B14" s="21"/>
      <c r="C14" s="20" t="s">
        <v>252</v>
      </c>
      <c r="D14" s="21">
        <v>1</v>
      </c>
      <c r="E14" s="20" t="s">
        <v>182</v>
      </c>
      <c r="F14" s="59">
        <v>22123.89</v>
      </c>
      <c r="G14" s="23">
        <f t="shared" si="0"/>
        <v>22123.89</v>
      </c>
      <c r="H14" s="24" t="s">
        <v>243</v>
      </c>
    </row>
    <row r="15" spans="1:8">
      <c r="A15" s="18" t="s">
        <v>145</v>
      </c>
      <c r="B15" s="21"/>
      <c r="C15" s="20"/>
      <c r="D15" s="21"/>
      <c r="E15" s="20"/>
      <c r="F15" s="59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59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59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59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59"/>
      <c r="G19" s="23"/>
      <c r="H19" s="25"/>
    </row>
    <row r="20" spans="1:8">
      <c r="A20" s="18" t="s">
        <v>150</v>
      </c>
      <c r="B20" s="29"/>
      <c r="C20" s="78"/>
      <c r="D20" s="79"/>
      <c r="E20" s="78"/>
      <c r="F20" s="80"/>
      <c r="G20" s="23"/>
      <c r="H20" s="34"/>
    </row>
    <row r="21" spans="1:8">
      <c r="A21" s="18" t="s">
        <v>151</v>
      </c>
      <c r="B21" s="29"/>
      <c r="C21" s="78"/>
      <c r="D21" s="79"/>
      <c r="E21" s="78"/>
      <c r="F21" s="80"/>
      <c r="G21" s="23"/>
      <c r="H21" s="34"/>
    </row>
    <row r="22" spans="1:8">
      <c r="A22" s="28" t="s">
        <v>152</v>
      </c>
      <c r="B22" s="29"/>
      <c r="C22" s="30">
        <f>G22</f>
        <v>258407.07</v>
      </c>
      <c r="D22" s="31"/>
      <c r="E22" s="31"/>
      <c r="F22" s="32" t="s">
        <v>153</v>
      </c>
      <c r="G22" s="33">
        <f>SUM(G8:G21)</f>
        <v>258407.07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253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91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254</v>
      </c>
      <c r="D8" s="21">
        <v>500</v>
      </c>
      <c r="E8" s="20" t="s">
        <v>182</v>
      </c>
      <c r="F8" s="59">
        <f>G8/D8</f>
        <v>11.65048</v>
      </c>
      <c r="G8" s="23">
        <v>5825.24</v>
      </c>
      <c r="H8" s="24"/>
    </row>
    <row r="9" spans="1:8">
      <c r="A9" s="18" t="s">
        <v>136</v>
      </c>
      <c r="B9" s="19"/>
      <c r="C9" s="20"/>
      <c r="D9" s="19"/>
      <c r="E9" s="20"/>
      <c r="F9" s="59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5825.24</v>
      </c>
      <c r="D22" s="31"/>
      <c r="E22" s="31"/>
      <c r="F22" s="32" t="s">
        <v>153</v>
      </c>
      <c r="G22" s="33">
        <f>SUM(G8:G21)</f>
        <v>5825.24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13" sqref="H13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255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92</v>
      </c>
      <c r="D5" s="7"/>
      <c r="E5" s="7"/>
      <c r="F5" s="7"/>
      <c r="G5" s="11" t="s">
        <v>124</v>
      </c>
      <c r="H5" s="70">
        <v>46199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71" t="s">
        <v>256</v>
      </c>
      <c r="D8" s="72">
        <v>2</v>
      </c>
      <c r="E8" s="66" t="s">
        <v>182</v>
      </c>
      <c r="F8" s="73">
        <f>G8/D8</f>
        <v>22123.895</v>
      </c>
      <c r="G8" s="72">
        <v>44247.79</v>
      </c>
      <c r="H8" s="24" t="s">
        <v>232</v>
      </c>
    </row>
    <row r="9" spans="1:8">
      <c r="A9" s="18" t="s">
        <v>136</v>
      </c>
      <c r="B9" s="19"/>
      <c r="C9" s="66"/>
      <c r="D9" s="74"/>
      <c r="E9" s="66"/>
      <c r="F9" s="73"/>
      <c r="G9" s="75"/>
      <c r="H9" s="25"/>
    </row>
    <row r="10" spans="1:8">
      <c r="A10" s="18" t="s">
        <v>138</v>
      </c>
      <c r="B10" s="19"/>
      <c r="C10" s="66"/>
      <c r="D10" s="74"/>
      <c r="E10" s="66"/>
      <c r="F10" s="73"/>
      <c r="G10" s="75"/>
      <c r="H10" s="25"/>
    </row>
    <row r="11" spans="1:8">
      <c r="A11" s="18" t="s">
        <v>140</v>
      </c>
      <c r="B11" s="21"/>
      <c r="C11" s="66"/>
      <c r="D11" s="21"/>
      <c r="E11" s="66"/>
      <c r="F11" s="73"/>
      <c r="G11" s="23"/>
      <c r="H11" s="25"/>
    </row>
    <row r="12" spans="1:8">
      <c r="A12" s="18" t="s">
        <v>142</v>
      </c>
      <c r="B12" s="21"/>
      <c r="C12" s="66"/>
      <c r="D12" s="21"/>
      <c r="E12" s="66"/>
      <c r="F12" s="73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44247.79</v>
      </c>
      <c r="D22" s="31"/>
      <c r="E22" s="31"/>
      <c r="F22" s="32" t="s">
        <v>153</v>
      </c>
      <c r="G22" s="76">
        <f>SUM(G8:G21)</f>
        <v>44247.79</v>
      </c>
      <c r="H22" s="77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2">
    <mergeCell ref="A1:H1"/>
    <mergeCell ref="A2:H2"/>
    <mergeCell ref="A3:F3"/>
    <mergeCell ref="G3:H3"/>
    <mergeCell ref="A4:B4"/>
    <mergeCell ref="C4:F4"/>
    <mergeCell ref="C22:E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257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93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258</v>
      </c>
      <c r="D8" s="21">
        <v>0.2261154</v>
      </c>
      <c r="E8" s="20" t="s">
        <v>259</v>
      </c>
      <c r="F8" s="27">
        <f>G8/D8</f>
        <v>23008.8264664857</v>
      </c>
      <c r="G8" s="23">
        <v>5202.65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5202.65</v>
      </c>
      <c r="D22" s="31"/>
      <c r="E22" s="31"/>
      <c r="F22" s="32" t="s">
        <v>153</v>
      </c>
      <c r="G22" s="33">
        <f>SUM(G8:G21)</f>
        <v>5202.65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5"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260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94</v>
      </c>
      <c r="D5" s="7"/>
      <c r="E5" s="7"/>
      <c r="F5" s="7"/>
      <c r="G5" s="11" t="s">
        <v>124</v>
      </c>
      <c r="H5" s="12">
        <v>44742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261</v>
      </c>
      <c r="D8" s="21">
        <v>0.517</v>
      </c>
      <c r="E8" s="20" t="s">
        <v>259</v>
      </c>
      <c r="F8" s="27">
        <f>G8/D8</f>
        <v>4767.11798839458</v>
      </c>
      <c r="G8" s="23">
        <v>2464.6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2464.6</v>
      </c>
      <c r="D22" s="31"/>
      <c r="E22" s="31"/>
      <c r="F22" s="32" t="s">
        <v>153</v>
      </c>
      <c r="G22" s="33">
        <f>SUM(G8:G21)</f>
        <v>2464.6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262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95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263</v>
      </c>
      <c r="D8" s="21">
        <v>54</v>
      </c>
      <c r="E8" s="20" t="s">
        <v>264</v>
      </c>
      <c r="F8" s="27">
        <f>G8/D8</f>
        <v>16.3944444444444</v>
      </c>
      <c r="G8" s="23">
        <v>885.3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885.3</v>
      </c>
      <c r="D22" s="31"/>
      <c r="E22" s="31"/>
      <c r="F22" s="32" t="s">
        <v>153</v>
      </c>
      <c r="G22" s="33">
        <f>SUM(G8:G21)</f>
        <v>885.3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:H9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style="61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62"/>
      <c r="H1" s="1"/>
    </row>
    <row r="2" spans="1:8">
      <c r="A2" s="42" t="s">
        <v>119</v>
      </c>
      <c r="B2" s="42"/>
      <c r="C2" s="42"/>
      <c r="D2" s="42"/>
      <c r="E2" s="42"/>
      <c r="F2" s="42"/>
      <c r="G2" s="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63" t="s">
        <v>229</v>
      </c>
      <c r="H3" s="5"/>
    </row>
    <row r="4" spans="1:8">
      <c r="A4" s="6"/>
      <c r="B4" s="6"/>
      <c r="C4" s="7"/>
      <c r="D4" s="7"/>
      <c r="E4" s="7"/>
      <c r="F4" s="7"/>
      <c r="G4" s="64" t="s">
        <v>122</v>
      </c>
      <c r="H4" s="9" t="s">
        <v>2</v>
      </c>
    </row>
    <row r="5" spans="1:8">
      <c r="A5" s="10" t="s">
        <v>123</v>
      </c>
      <c r="B5" s="10"/>
      <c r="C5" s="7" t="s">
        <v>97</v>
      </c>
      <c r="D5" s="7"/>
      <c r="E5" s="7"/>
      <c r="F5" s="7"/>
      <c r="G5" s="65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65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G8"/>
    </row>
    <row r="9" spans="1:8">
      <c r="A9" s="18" t="s">
        <v>136</v>
      </c>
      <c r="B9" s="19"/>
      <c r="G9"/>
    </row>
    <row r="10" spans="1:8">
      <c r="A10" s="18" t="s">
        <v>138</v>
      </c>
      <c r="B10" s="19"/>
      <c r="C10" s="66"/>
      <c r="D10" s="19"/>
      <c r="E10" s="20"/>
      <c r="F10" s="59"/>
      <c r="G10" s="23"/>
      <c r="H10" s="24"/>
    </row>
    <row r="11" spans="1:8">
      <c r="A11" s="18" t="s">
        <v>140</v>
      </c>
      <c r="B11" s="21"/>
      <c r="C11" s="66"/>
      <c r="D11" s="19"/>
      <c r="E11" s="20"/>
      <c r="F11" s="59"/>
      <c r="G11" s="23"/>
      <c r="H11" s="24"/>
    </row>
    <row r="12" spans="1:8">
      <c r="A12" s="18" t="s">
        <v>142</v>
      </c>
      <c r="B12" s="21"/>
      <c r="C12" s="66"/>
      <c r="D12" s="67"/>
      <c r="E12" s="20"/>
      <c r="F12" s="59"/>
      <c r="G12" s="68"/>
      <c r="H12" s="25"/>
    </row>
    <row r="13" spans="1:8">
      <c r="A13" s="18" t="s">
        <v>143</v>
      </c>
      <c r="B13" s="21"/>
      <c r="C13" s="66"/>
      <c r="D13" s="67"/>
      <c r="E13" s="20"/>
      <c r="F13" s="59"/>
      <c r="G13" s="68"/>
      <c r="H13" s="25"/>
    </row>
    <row r="14" spans="1:8">
      <c r="A14" s="18" t="s">
        <v>144</v>
      </c>
      <c r="B14" s="21"/>
      <c r="C14" s="20"/>
      <c r="D14" s="19"/>
      <c r="E14" s="20"/>
      <c r="F14" s="59"/>
      <c r="G14" s="23"/>
      <c r="H14" s="25"/>
    </row>
    <row r="15" spans="1:8">
      <c r="A15" s="18" t="s">
        <v>145</v>
      </c>
      <c r="B15" s="21"/>
      <c r="C15" s="20"/>
      <c r="D15" s="19"/>
      <c r="E15" s="20"/>
      <c r="F15" s="59"/>
      <c r="G15" s="23"/>
      <c r="H15" s="25"/>
    </row>
    <row r="16" spans="1:8">
      <c r="A16" s="18" t="s">
        <v>146</v>
      </c>
      <c r="B16" s="21"/>
      <c r="C16" s="20"/>
      <c r="D16" s="19"/>
      <c r="E16" s="20"/>
      <c r="F16" s="59"/>
      <c r="G16" s="23"/>
      <c r="H16" s="25"/>
    </row>
    <row r="17" spans="1:8">
      <c r="A17" s="18" t="s">
        <v>147</v>
      </c>
      <c r="B17" s="21"/>
      <c r="C17" s="20"/>
      <c r="D17" s="19"/>
      <c r="E17" s="20"/>
      <c r="F17" s="59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0</v>
      </c>
      <c r="D22" s="31"/>
      <c r="E22" s="31"/>
      <c r="F22" s="32" t="s">
        <v>153</v>
      </c>
      <c r="G22" s="69">
        <f>SUM(G10:G21)</f>
        <v>0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37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F36" sqref="F36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265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96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266</v>
      </c>
      <c r="D8" s="21">
        <v>30.988</v>
      </c>
      <c r="E8" s="20" t="s">
        <v>259</v>
      </c>
      <c r="F8" s="27">
        <f>G8/D8</f>
        <v>4274.336194656</v>
      </c>
      <c r="G8" s="23">
        <v>132453.13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60"/>
      <c r="D11" s="60"/>
      <c r="E11" s="60"/>
      <c r="F11" s="60"/>
      <c r="G11" s="60"/>
      <c r="H11" s="25"/>
    </row>
    <row r="12" spans="1:8">
      <c r="A12" s="18" t="s">
        <v>142</v>
      </c>
      <c r="B12" s="21"/>
      <c r="C12" s="60"/>
      <c r="D12" s="60"/>
      <c r="E12" s="60"/>
      <c r="F12" s="60"/>
      <c r="G12" s="60"/>
      <c r="H12" s="25"/>
    </row>
    <row r="13" spans="1:8">
      <c r="A13" s="18" t="s">
        <v>143</v>
      </c>
      <c r="B13" s="21"/>
      <c r="C13" s="60"/>
      <c r="D13" s="60"/>
      <c r="E13" s="60"/>
      <c r="F13" s="60"/>
      <c r="G13" s="60"/>
      <c r="H13" s="25"/>
    </row>
    <row r="14" spans="1:8">
      <c r="A14" s="18" t="s">
        <v>144</v>
      </c>
      <c r="B14" s="21"/>
      <c r="C14" s="60"/>
      <c r="D14" s="60"/>
      <c r="E14" s="60"/>
      <c r="F14" s="60"/>
      <c r="G14" s="60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132453.13</v>
      </c>
      <c r="D22" s="31"/>
      <c r="E22" s="31"/>
      <c r="F22" s="32" t="s">
        <v>153</v>
      </c>
      <c r="G22" s="33">
        <f>SUM(G8:G21)</f>
        <v>132453.13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6.8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267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98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268</v>
      </c>
      <c r="D8" s="21">
        <v>1</v>
      </c>
      <c r="E8" s="20" t="s">
        <v>182</v>
      </c>
      <c r="F8" s="59">
        <f>G8/D8</f>
        <v>14563.11</v>
      </c>
      <c r="G8" s="23">
        <v>14563.11</v>
      </c>
      <c r="H8" s="24"/>
    </row>
    <row r="9" spans="1:8">
      <c r="A9" s="18" t="s">
        <v>136</v>
      </c>
      <c r="B9" s="19"/>
      <c r="C9" s="20" t="s">
        <v>269</v>
      </c>
      <c r="D9" s="19">
        <v>1</v>
      </c>
      <c r="E9" s="20" t="s">
        <v>182</v>
      </c>
      <c r="F9" s="59">
        <f>G9/D9</f>
        <v>43689.32</v>
      </c>
      <c r="G9" s="23">
        <v>43689.32</v>
      </c>
      <c r="H9" s="25"/>
    </row>
    <row r="10" spans="1:8">
      <c r="A10" s="18" t="s">
        <v>138</v>
      </c>
      <c r="B10" s="19"/>
      <c r="C10" s="20" t="s">
        <v>270</v>
      </c>
      <c r="D10" s="19">
        <v>1</v>
      </c>
      <c r="E10" s="20" t="s">
        <v>182</v>
      </c>
      <c r="F10" s="59">
        <f>G10/D10</f>
        <v>31067.96</v>
      </c>
      <c r="G10" s="23">
        <v>31067.96</v>
      </c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89320.39</v>
      </c>
      <c r="D22" s="31"/>
      <c r="E22" s="31"/>
      <c r="F22" s="32" t="s">
        <v>153</v>
      </c>
      <c r="G22" s="33">
        <f>SUM(G8:G21)</f>
        <v>89320.39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271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99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272</v>
      </c>
      <c r="D8" s="21">
        <v>552</v>
      </c>
      <c r="E8" s="20" t="s">
        <v>163</v>
      </c>
      <c r="F8" s="59">
        <f>G8/D8</f>
        <v>21.9115036231884</v>
      </c>
      <c r="G8" s="23">
        <v>12095.15</v>
      </c>
      <c r="H8" s="24"/>
    </row>
    <row r="9" spans="1:8">
      <c r="A9" s="18" t="s">
        <v>136</v>
      </c>
      <c r="B9" s="19"/>
      <c r="C9" s="20"/>
      <c r="D9" s="19"/>
      <c r="E9" s="20"/>
      <c r="F9" s="59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12095.15</v>
      </c>
      <c r="D22" s="31"/>
      <c r="E22" s="31"/>
      <c r="F22" s="32" t="s">
        <v>153</v>
      </c>
      <c r="G22" s="33">
        <f>SUM(G8:G21)</f>
        <v>12095.15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273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100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274</v>
      </c>
      <c r="D8" s="21">
        <v>330</v>
      </c>
      <c r="E8" s="21" t="s">
        <v>275</v>
      </c>
      <c r="F8" s="22">
        <f>G8/D8</f>
        <v>16.8141515151515</v>
      </c>
      <c r="G8" s="23">
        <v>5548.67</v>
      </c>
      <c r="H8" s="24"/>
    </row>
    <row r="9" spans="1:8">
      <c r="A9" s="18" t="s">
        <v>136</v>
      </c>
      <c r="B9" s="19"/>
      <c r="C9" s="20" t="s">
        <v>276</v>
      </c>
      <c r="D9" s="19">
        <v>600</v>
      </c>
      <c r="E9" s="21" t="s">
        <v>275</v>
      </c>
      <c r="F9" s="22">
        <f t="shared" ref="F9:F20" si="0">G9/D9</f>
        <v>27.4336333333333</v>
      </c>
      <c r="G9" s="23">
        <v>16460.18</v>
      </c>
      <c r="H9" s="25"/>
    </row>
    <row r="10" spans="1:8">
      <c r="A10" s="18" t="s">
        <v>138</v>
      </c>
      <c r="B10" s="19"/>
      <c r="C10" s="20" t="s">
        <v>277</v>
      </c>
      <c r="D10" s="19">
        <v>150</v>
      </c>
      <c r="E10" s="21" t="s">
        <v>275</v>
      </c>
      <c r="F10" s="22">
        <f t="shared" si="0"/>
        <v>44.2478</v>
      </c>
      <c r="G10" s="23">
        <v>6637.17</v>
      </c>
      <c r="H10" s="25"/>
    </row>
    <row r="11" spans="1:8">
      <c r="A11" s="18" t="s">
        <v>140</v>
      </c>
      <c r="B11" s="21"/>
      <c r="C11" s="20" t="s">
        <v>278</v>
      </c>
      <c r="D11" s="21">
        <v>96</v>
      </c>
      <c r="E11" s="21" t="s">
        <v>275</v>
      </c>
      <c r="F11" s="22">
        <f t="shared" si="0"/>
        <v>92.9203125</v>
      </c>
      <c r="G11" s="23">
        <v>8920.35</v>
      </c>
      <c r="H11" s="25"/>
    </row>
    <row r="12" spans="1:8">
      <c r="A12" s="18" t="s">
        <v>142</v>
      </c>
      <c r="B12" s="21"/>
      <c r="C12" s="20" t="s">
        <v>279</v>
      </c>
      <c r="D12" s="21">
        <v>125</v>
      </c>
      <c r="E12" s="21" t="s">
        <v>135</v>
      </c>
      <c r="F12" s="22">
        <f t="shared" si="0"/>
        <v>5.75224</v>
      </c>
      <c r="G12" s="23">
        <v>719.03</v>
      </c>
      <c r="H12" s="25"/>
    </row>
    <row r="13" spans="1:8">
      <c r="A13" s="18" t="s">
        <v>143</v>
      </c>
      <c r="B13" s="21"/>
      <c r="C13" s="20" t="s">
        <v>280</v>
      </c>
      <c r="D13" s="21">
        <v>272</v>
      </c>
      <c r="E13" s="21" t="s">
        <v>135</v>
      </c>
      <c r="F13" s="22">
        <f t="shared" si="0"/>
        <v>8.49558823529412</v>
      </c>
      <c r="G13" s="23">
        <v>2310.8</v>
      </c>
      <c r="H13" s="25"/>
    </row>
    <row r="14" spans="1:8">
      <c r="A14" s="18" t="s">
        <v>144</v>
      </c>
      <c r="B14" s="21"/>
      <c r="C14" s="20" t="s">
        <v>281</v>
      </c>
      <c r="D14" s="21">
        <v>500</v>
      </c>
      <c r="E14" s="21" t="s">
        <v>135</v>
      </c>
      <c r="F14" s="22">
        <f t="shared" si="0"/>
        <v>3.00884</v>
      </c>
      <c r="G14" s="23">
        <v>1504.42</v>
      </c>
      <c r="H14" s="25"/>
    </row>
    <row r="15" spans="1:8">
      <c r="A15" s="18" t="s">
        <v>145</v>
      </c>
      <c r="B15" s="21"/>
      <c r="C15" s="20" t="s">
        <v>282</v>
      </c>
      <c r="D15" s="21">
        <v>600</v>
      </c>
      <c r="E15" s="21" t="s">
        <v>135</v>
      </c>
      <c r="F15" s="22">
        <f t="shared" si="0"/>
        <v>1.50441666666667</v>
      </c>
      <c r="G15" s="23">
        <v>902.65</v>
      </c>
      <c r="H15" s="25"/>
    </row>
    <row r="16" spans="1:8">
      <c r="A16" s="18" t="s">
        <v>146</v>
      </c>
      <c r="B16" s="21"/>
      <c r="C16" s="20" t="s">
        <v>283</v>
      </c>
      <c r="D16" s="21">
        <v>114</v>
      </c>
      <c r="E16" s="21" t="s">
        <v>135</v>
      </c>
      <c r="F16" s="22">
        <f t="shared" si="0"/>
        <v>19.2035087719298</v>
      </c>
      <c r="G16" s="23">
        <v>2189.2</v>
      </c>
      <c r="H16" s="25"/>
    </row>
    <row r="17" spans="1:8">
      <c r="A17" s="18" t="s">
        <v>147</v>
      </c>
      <c r="B17" s="21"/>
      <c r="C17" s="20" t="s">
        <v>284</v>
      </c>
      <c r="D17" s="21">
        <v>83</v>
      </c>
      <c r="E17" s="21" t="s">
        <v>135</v>
      </c>
      <c r="F17" s="22">
        <f t="shared" si="0"/>
        <v>25.663734939759</v>
      </c>
      <c r="G17" s="23">
        <v>2130.09</v>
      </c>
      <c r="H17" s="25"/>
    </row>
    <row r="18" spans="1:8">
      <c r="A18" s="18" t="s">
        <v>148</v>
      </c>
      <c r="B18" s="21"/>
      <c r="C18" s="20" t="s">
        <v>285</v>
      </c>
      <c r="D18" s="21">
        <v>167</v>
      </c>
      <c r="E18" s="21" t="s">
        <v>135</v>
      </c>
      <c r="F18" s="22">
        <f t="shared" si="0"/>
        <v>24.955748502994</v>
      </c>
      <c r="G18" s="23">
        <v>4167.61</v>
      </c>
      <c r="H18" s="25"/>
    </row>
    <row r="19" spans="1:8">
      <c r="A19" s="18" t="s">
        <v>149</v>
      </c>
      <c r="B19" s="21"/>
      <c r="C19" s="20" t="s">
        <v>286</v>
      </c>
      <c r="D19" s="21">
        <v>10</v>
      </c>
      <c r="E19" s="21" t="s">
        <v>135</v>
      </c>
      <c r="F19" s="22">
        <f t="shared" si="0"/>
        <v>1.531</v>
      </c>
      <c r="G19" s="23">
        <v>15.31</v>
      </c>
      <c r="H19" s="25"/>
    </row>
    <row r="20" spans="1:8">
      <c r="A20" s="18" t="s">
        <v>150</v>
      </c>
      <c r="B20" s="21"/>
      <c r="C20" s="20" t="s">
        <v>287</v>
      </c>
      <c r="D20" s="21">
        <v>143</v>
      </c>
      <c r="E20" s="21" t="s">
        <v>135</v>
      </c>
      <c r="F20" s="22">
        <f t="shared" si="0"/>
        <v>9.55755244755245</v>
      </c>
      <c r="G20" s="23">
        <v>1366.73</v>
      </c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52872.21</v>
      </c>
      <c r="D22" s="31"/>
      <c r="E22" s="31"/>
      <c r="F22" s="32" t="s">
        <v>153</v>
      </c>
      <c r="G22" s="33">
        <f>SUM(G8:G21)</f>
        <v>52872.21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288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t="s">
        <v>2</v>
      </c>
    </row>
    <row r="5" spans="1:8">
      <c r="A5" s="10" t="s">
        <v>123</v>
      </c>
      <c r="B5" s="10"/>
      <c r="C5" s="7" t="s">
        <v>101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289</v>
      </c>
      <c r="D8" s="21">
        <v>220</v>
      </c>
      <c r="E8" s="20" t="s">
        <v>173</v>
      </c>
      <c r="F8" s="27">
        <f>G8/D8</f>
        <v>80.177</v>
      </c>
      <c r="G8" s="23">
        <v>17638.94</v>
      </c>
      <c r="H8" s="24"/>
    </row>
    <row r="9" spans="1:8">
      <c r="A9" s="18" t="s">
        <v>136</v>
      </c>
      <c r="B9" s="19"/>
      <c r="C9" s="20" t="s">
        <v>290</v>
      </c>
      <c r="D9" s="19">
        <v>55</v>
      </c>
      <c r="E9" s="20" t="s">
        <v>173</v>
      </c>
      <c r="F9" s="27">
        <f t="shared" ref="F9:F16" si="0">G9/D9</f>
        <v>10.6194545454545</v>
      </c>
      <c r="G9" s="23">
        <v>584.07</v>
      </c>
      <c r="H9" s="25"/>
    </row>
    <row r="10" spans="1:8">
      <c r="A10" s="18" t="s">
        <v>138</v>
      </c>
      <c r="B10" s="19"/>
      <c r="C10" s="20" t="s">
        <v>291</v>
      </c>
      <c r="D10" s="19">
        <v>4</v>
      </c>
      <c r="E10" s="20" t="s">
        <v>188</v>
      </c>
      <c r="F10" s="27">
        <f t="shared" si="0"/>
        <v>2300.885</v>
      </c>
      <c r="G10" s="23">
        <v>9203.54</v>
      </c>
      <c r="H10" s="25"/>
    </row>
    <row r="11" spans="1:8">
      <c r="A11" s="18" t="s">
        <v>140</v>
      </c>
      <c r="B11" s="21"/>
      <c r="C11" s="20" t="s">
        <v>290</v>
      </c>
      <c r="D11" s="21">
        <v>4</v>
      </c>
      <c r="E11" s="20" t="s">
        <v>188</v>
      </c>
      <c r="F11" s="27">
        <f t="shared" si="0"/>
        <v>1061.9475</v>
      </c>
      <c r="G11" s="23">
        <v>4247.79</v>
      </c>
      <c r="H11" s="25"/>
    </row>
    <row r="12" spans="1:8">
      <c r="A12" s="18" t="s">
        <v>142</v>
      </c>
      <c r="B12" s="21"/>
      <c r="C12" s="20" t="s">
        <v>292</v>
      </c>
      <c r="D12" s="21">
        <v>6</v>
      </c>
      <c r="E12" s="20" t="s">
        <v>188</v>
      </c>
      <c r="F12" s="27">
        <f t="shared" si="0"/>
        <v>407.08</v>
      </c>
      <c r="G12" s="23">
        <v>2442.48</v>
      </c>
      <c r="H12" s="25"/>
    </row>
    <row r="13" spans="1:8">
      <c r="A13" s="18" t="s">
        <v>143</v>
      </c>
      <c r="B13" s="21"/>
      <c r="C13" s="20" t="s">
        <v>293</v>
      </c>
      <c r="D13" s="21">
        <v>4</v>
      </c>
      <c r="E13" s="20" t="s">
        <v>188</v>
      </c>
      <c r="F13" s="27">
        <f t="shared" si="0"/>
        <v>271.6825</v>
      </c>
      <c r="G13" s="23">
        <v>1086.73</v>
      </c>
      <c r="H13" s="25"/>
    </row>
    <row r="14" spans="1:8">
      <c r="A14" s="18" t="s">
        <v>144</v>
      </c>
      <c r="B14" s="21"/>
      <c r="C14" s="20" t="s">
        <v>294</v>
      </c>
      <c r="D14" s="21">
        <v>7</v>
      </c>
      <c r="E14" s="20" t="s">
        <v>188</v>
      </c>
      <c r="F14" s="27">
        <f t="shared" si="0"/>
        <v>169.911428571429</v>
      </c>
      <c r="G14" s="23">
        <v>1189.38</v>
      </c>
      <c r="H14" s="25"/>
    </row>
    <row r="15" spans="1:8">
      <c r="A15" s="18" t="s">
        <v>145</v>
      </c>
      <c r="B15" s="21"/>
      <c r="C15" s="20" t="s">
        <v>295</v>
      </c>
      <c r="D15" s="21">
        <v>1</v>
      </c>
      <c r="E15" s="20" t="s">
        <v>188</v>
      </c>
      <c r="F15" s="27">
        <f t="shared" si="0"/>
        <v>632.74</v>
      </c>
      <c r="G15" s="23">
        <v>632.74</v>
      </c>
      <c r="H15" s="25"/>
    </row>
    <row r="16" spans="1:8">
      <c r="A16" s="18" t="s">
        <v>146</v>
      </c>
      <c r="B16" s="21"/>
      <c r="C16" s="20" t="s">
        <v>296</v>
      </c>
      <c r="D16" s="21">
        <v>1</v>
      </c>
      <c r="E16" s="20" t="s">
        <v>188</v>
      </c>
      <c r="F16" s="27">
        <f t="shared" si="0"/>
        <v>447.79</v>
      </c>
      <c r="G16" s="23">
        <v>447.79</v>
      </c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37473.46</v>
      </c>
      <c r="D22" s="31"/>
      <c r="E22" s="31"/>
      <c r="F22" s="32" t="s">
        <v>153</v>
      </c>
      <c r="G22" s="33">
        <f>SUM(G8:G21)</f>
        <v>37473.46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1"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15" sqref="G15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297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102</v>
      </c>
      <c r="D5" s="7"/>
      <c r="E5" s="7"/>
      <c r="F5" s="7"/>
      <c r="G5" s="11" t="s">
        <v>124</v>
      </c>
      <c r="H5" s="12">
        <v>45771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298</v>
      </c>
      <c r="D8" s="21">
        <v>1</v>
      </c>
      <c r="E8" s="21" t="s">
        <v>299</v>
      </c>
      <c r="F8" s="27">
        <v>84070.8</v>
      </c>
      <c r="G8" s="23">
        <f>F8</f>
        <v>84070.8</v>
      </c>
      <c r="H8" s="24"/>
    </row>
    <row r="9" spans="1:8">
      <c r="A9" s="18" t="s">
        <v>136</v>
      </c>
      <c r="B9" s="19"/>
      <c r="C9" s="20"/>
      <c r="D9" s="19"/>
      <c r="E9" s="21"/>
      <c r="F9" s="27"/>
      <c r="G9" s="23"/>
      <c r="H9" s="25"/>
    </row>
    <row r="10" spans="1:8">
      <c r="A10" s="18" t="s">
        <v>138</v>
      </c>
      <c r="B10" s="19"/>
      <c r="C10" s="20"/>
      <c r="D10" s="19"/>
      <c r="E10" s="21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1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84070.8</v>
      </c>
      <c r="D22" s="31"/>
      <c r="E22" s="31"/>
      <c r="F22" s="32" t="s">
        <v>153</v>
      </c>
      <c r="G22" s="33">
        <f>SUM(G8:G21)</f>
        <v>84070.8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5" sqref="C5:F6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300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103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301</v>
      </c>
      <c r="D8" s="21">
        <v>222</v>
      </c>
      <c r="E8" s="21" t="s">
        <v>173</v>
      </c>
      <c r="F8" s="27">
        <f>G8/D8</f>
        <v>66.3716666666667</v>
      </c>
      <c r="G8" s="23">
        <v>14734.51</v>
      </c>
      <c r="H8" s="24"/>
    </row>
    <row r="9" spans="1:8">
      <c r="A9" s="18" t="s">
        <v>136</v>
      </c>
      <c r="B9" s="19"/>
      <c r="C9" s="20" t="s">
        <v>302</v>
      </c>
      <c r="D9" s="19">
        <v>759</v>
      </c>
      <c r="E9" s="21" t="s">
        <v>173</v>
      </c>
      <c r="F9" s="27">
        <f t="shared" ref="F9:F19" si="0">G9/D9</f>
        <v>57.5221212121212</v>
      </c>
      <c r="G9" s="23">
        <v>43659.29</v>
      </c>
      <c r="H9" s="25"/>
    </row>
    <row r="10" spans="1:8">
      <c r="A10" s="18" t="s">
        <v>138</v>
      </c>
      <c r="B10" s="19"/>
      <c r="C10" s="20" t="s">
        <v>303</v>
      </c>
      <c r="D10" s="19">
        <v>74</v>
      </c>
      <c r="E10" s="21" t="s">
        <v>173</v>
      </c>
      <c r="F10" s="27">
        <f t="shared" si="0"/>
        <v>39.822972972973</v>
      </c>
      <c r="G10" s="23">
        <v>2946.9</v>
      </c>
      <c r="H10" s="25"/>
    </row>
    <row r="11" spans="1:8">
      <c r="A11" s="18" t="s">
        <v>140</v>
      </c>
      <c r="B11" s="21"/>
      <c r="C11" s="20" t="s">
        <v>304</v>
      </c>
      <c r="D11" s="21">
        <v>327</v>
      </c>
      <c r="E11" s="21" t="s">
        <v>173</v>
      </c>
      <c r="F11" s="27">
        <f t="shared" si="0"/>
        <v>30.9734556574924</v>
      </c>
      <c r="G11" s="23">
        <v>10128.32</v>
      </c>
      <c r="H11" s="25"/>
    </row>
    <row r="12" spans="1:8">
      <c r="A12" s="18" t="s">
        <v>142</v>
      </c>
      <c r="B12" s="21"/>
      <c r="C12" s="20" t="s">
        <v>305</v>
      </c>
      <c r="D12" s="21">
        <v>253</v>
      </c>
      <c r="E12" s="21" t="s">
        <v>173</v>
      </c>
      <c r="F12" s="27">
        <f t="shared" si="0"/>
        <v>24.7787747035573</v>
      </c>
      <c r="G12" s="23">
        <v>6269.03</v>
      </c>
      <c r="H12" s="25"/>
    </row>
    <row r="13" spans="1:8">
      <c r="A13" s="18" t="s">
        <v>143</v>
      </c>
      <c r="B13" s="21"/>
      <c r="C13" s="20" t="s">
        <v>306</v>
      </c>
      <c r="D13" s="21">
        <v>168</v>
      </c>
      <c r="E13" s="21" t="s">
        <v>173</v>
      </c>
      <c r="F13" s="27">
        <f t="shared" si="0"/>
        <v>22.123869047619</v>
      </c>
      <c r="G13" s="23">
        <v>3716.81</v>
      </c>
      <c r="H13" s="25"/>
    </row>
    <row r="14" spans="1:8">
      <c r="A14" s="18" t="s">
        <v>144</v>
      </c>
      <c r="B14" s="21"/>
      <c r="C14" s="20" t="s">
        <v>307</v>
      </c>
      <c r="D14" s="21">
        <v>677</v>
      </c>
      <c r="E14" s="21" t="s">
        <v>173</v>
      </c>
      <c r="F14" s="27">
        <f t="shared" si="0"/>
        <v>19.4690251107829</v>
      </c>
      <c r="G14" s="23">
        <v>13180.53</v>
      </c>
      <c r="H14" s="25"/>
    </row>
    <row r="15" spans="1:8">
      <c r="A15" s="18" t="s">
        <v>145</v>
      </c>
      <c r="B15" s="21"/>
      <c r="C15" s="20" t="s">
        <v>308</v>
      </c>
      <c r="D15" s="21">
        <v>143</v>
      </c>
      <c r="E15" s="21" t="s">
        <v>299</v>
      </c>
      <c r="F15" s="27">
        <f t="shared" si="0"/>
        <v>53.0973426573427</v>
      </c>
      <c r="G15" s="23">
        <v>7592.92</v>
      </c>
      <c r="H15" s="25"/>
    </row>
    <row r="16" spans="1:8">
      <c r="A16" s="18" t="s">
        <v>146</v>
      </c>
      <c r="B16" s="21"/>
      <c r="C16" s="20" t="s">
        <v>309</v>
      </c>
      <c r="D16" s="21">
        <v>222</v>
      </c>
      <c r="E16" s="21" t="s">
        <v>299</v>
      </c>
      <c r="F16" s="27">
        <f t="shared" si="0"/>
        <v>39.823018018018</v>
      </c>
      <c r="G16" s="23">
        <v>8840.71</v>
      </c>
      <c r="H16" s="25"/>
    </row>
    <row r="17" spans="1:8">
      <c r="A17" s="18" t="s">
        <v>147</v>
      </c>
      <c r="B17" s="21"/>
      <c r="C17" s="20" t="s">
        <v>310</v>
      </c>
      <c r="D17" s="21">
        <v>92</v>
      </c>
      <c r="E17" s="21" t="s">
        <v>299</v>
      </c>
      <c r="F17" s="27">
        <f t="shared" si="0"/>
        <v>30.9734782608696</v>
      </c>
      <c r="G17" s="23">
        <v>2849.56</v>
      </c>
      <c r="H17" s="25"/>
    </row>
    <row r="18" spans="1:8">
      <c r="A18" s="18" t="s">
        <v>148</v>
      </c>
      <c r="B18" s="21"/>
      <c r="C18" s="20" t="s">
        <v>311</v>
      </c>
      <c r="D18" s="21">
        <v>38</v>
      </c>
      <c r="E18" s="21" t="s">
        <v>299</v>
      </c>
      <c r="F18" s="27">
        <f t="shared" si="0"/>
        <v>26.5486842105263</v>
      </c>
      <c r="G18" s="23">
        <v>1008.85</v>
      </c>
      <c r="H18" s="25"/>
    </row>
    <row r="19" spans="1:8">
      <c r="A19" s="18" t="s">
        <v>149</v>
      </c>
      <c r="B19" s="21"/>
      <c r="C19" s="20" t="s">
        <v>312</v>
      </c>
      <c r="D19" s="21">
        <v>2480</v>
      </c>
      <c r="E19" s="21" t="s">
        <v>173</v>
      </c>
      <c r="F19" s="27">
        <f t="shared" si="0"/>
        <v>7.07964516129032</v>
      </c>
      <c r="G19" s="23">
        <v>17557.52</v>
      </c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132484.95</v>
      </c>
      <c r="D22" s="31"/>
      <c r="E22" s="31"/>
      <c r="F22" s="32" t="s">
        <v>153</v>
      </c>
      <c r="G22" s="33">
        <f>SUM(G8:G21)</f>
        <v>132484.95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313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105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314</v>
      </c>
      <c r="D8" s="21">
        <v>50</v>
      </c>
      <c r="E8" s="21" t="s">
        <v>315</v>
      </c>
      <c r="F8" s="27">
        <f>G8/D8</f>
        <v>283.1858</v>
      </c>
      <c r="G8" s="23">
        <v>14159.29</v>
      </c>
      <c r="H8" s="24"/>
    </row>
    <row r="9" spans="1:8">
      <c r="A9" s="18" t="s">
        <v>136</v>
      </c>
      <c r="B9" s="19"/>
      <c r="C9" s="20" t="s">
        <v>316</v>
      </c>
      <c r="D9" s="19">
        <v>10</v>
      </c>
      <c r="E9" s="21" t="s">
        <v>315</v>
      </c>
      <c r="F9" s="27">
        <f>G9/D9</f>
        <v>1902.655</v>
      </c>
      <c r="G9" s="23">
        <v>19026.55</v>
      </c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33185.84</v>
      </c>
      <c r="D22" s="31"/>
      <c r="E22" s="31"/>
      <c r="F22" s="32" t="s">
        <v>153</v>
      </c>
      <c r="G22" s="33">
        <f>SUM(G8:G21)</f>
        <v>33185.84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317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106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318</v>
      </c>
      <c r="D8" s="21">
        <v>1203.15</v>
      </c>
      <c r="E8" s="20" t="s">
        <v>200</v>
      </c>
      <c r="F8" s="27">
        <f>G8/D8</f>
        <v>23.8937705190541</v>
      </c>
      <c r="G8" s="23">
        <v>28747.79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28747.79</v>
      </c>
      <c r="D22" s="31"/>
      <c r="E22" s="31"/>
      <c r="F22" s="32" t="s">
        <v>153</v>
      </c>
      <c r="G22" s="33">
        <f>SUM(G8:G21)</f>
        <v>28747.79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319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107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320</v>
      </c>
      <c r="D8" s="21">
        <v>2000</v>
      </c>
      <c r="E8" s="21" t="s">
        <v>173</v>
      </c>
      <c r="F8" s="27">
        <f>G8/D8</f>
        <v>6.37168</v>
      </c>
      <c r="G8" s="23">
        <v>12743.36</v>
      </c>
      <c r="H8" s="24"/>
    </row>
    <row r="9" spans="1:8">
      <c r="A9" s="18" t="s">
        <v>136</v>
      </c>
      <c r="B9" s="19"/>
      <c r="C9" s="20" t="s">
        <v>321</v>
      </c>
      <c r="D9" s="19">
        <v>800</v>
      </c>
      <c r="E9" s="21" t="s">
        <v>173</v>
      </c>
      <c r="F9" s="27">
        <f t="shared" ref="F9:F19" si="0">G9/D9</f>
        <v>10.2654875</v>
      </c>
      <c r="G9" s="23">
        <v>8212.39</v>
      </c>
      <c r="H9" s="25"/>
    </row>
    <row r="10" spans="1:8">
      <c r="A10" s="18" t="s">
        <v>138</v>
      </c>
      <c r="B10" s="19"/>
      <c r="C10" s="20" t="s">
        <v>322</v>
      </c>
      <c r="D10" s="19">
        <v>480</v>
      </c>
      <c r="E10" s="21" t="s">
        <v>135</v>
      </c>
      <c r="F10" s="27">
        <f t="shared" si="0"/>
        <v>1.68141666666667</v>
      </c>
      <c r="G10" s="23">
        <v>807.08</v>
      </c>
      <c r="H10" s="25"/>
    </row>
    <row r="11" spans="1:8">
      <c r="A11" s="18" t="s">
        <v>140</v>
      </c>
      <c r="B11" s="21"/>
      <c r="C11" s="20" t="s">
        <v>323</v>
      </c>
      <c r="D11" s="21">
        <v>720</v>
      </c>
      <c r="E11" s="21" t="s">
        <v>135</v>
      </c>
      <c r="F11" s="27">
        <f t="shared" si="0"/>
        <v>0.973444444444444</v>
      </c>
      <c r="G11" s="23">
        <v>700.88</v>
      </c>
      <c r="H11" s="25"/>
    </row>
    <row r="12" spans="1:8">
      <c r="A12" s="18" t="s">
        <v>142</v>
      </c>
      <c r="B12" s="21"/>
      <c r="C12" s="20" t="s">
        <v>324</v>
      </c>
      <c r="D12" s="21">
        <v>1600</v>
      </c>
      <c r="E12" s="21" t="s">
        <v>135</v>
      </c>
      <c r="F12" s="27">
        <f t="shared" si="0"/>
        <v>0.84070625</v>
      </c>
      <c r="G12" s="23">
        <v>1345.13</v>
      </c>
      <c r="H12" s="25"/>
    </row>
    <row r="13" spans="1:8">
      <c r="A13" s="18" t="s">
        <v>143</v>
      </c>
      <c r="B13" s="21"/>
      <c r="C13" s="20" t="s">
        <v>325</v>
      </c>
      <c r="D13" s="21">
        <v>656</v>
      </c>
      <c r="E13" s="21" t="s">
        <v>135</v>
      </c>
      <c r="F13" s="27">
        <f t="shared" si="0"/>
        <v>0.575228658536585</v>
      </c>
      <c r="G13" s="23">
        <v>377.35</v>
      </c>
      <c r="H13" s="25"/>
    </row>
    <row r="14" spans="1:8">
      <c r="A14" s="18" t="s">
        <v>144</v>
      </c>
      <c r="B14" s="21"/>
      <c r="C14" s="20" t="s">
        <v>326</v>
      </c>
      <c r="D14" s="21">
        <v>347</v>
      </c>
      <c r="E14" s="21" t="s">
        <v>135</v>
      </c>
      <c r="F14" s="27">
        <f t="shared" si="0"/>
        <v>1.28279538904899</v>
      </c>
      <c r="G14" s="23">
        <v>445.13</v>
      </c>
      <c r="H14" s="25"/>
    </row>
    <row r="15" spans="1:8">
      <c r="A15" s="18" t="s">
        <v>145</v>
      </c>
      <c r="B15" s="21"/>
      <c r="C15" s="20" t="s">
        <v>327</v>
      </c>
      <c r="D15" s="21">
        <v>550</v>
      </c>
      <c r="E15" s="21" t="s">
        <v>135</v>
      </c>
      <c r="F15" s="27">
        <f t="shared" si="0"/>
        <v>2.16814545454545</v>
      </c>
      <c r="G15" s="23">
        <v>1192.48</v>
      </c>
      <c r="H15" s="25"/>
    </row>
    <row r="16" spans="1:8">
      <c r="A16" s="18" t="s">
        <v>146</v>
      </c>
      <c r="B16" s="21"/>
      <c r="C16" s="20" t="s">
        <v>328</v>
      </c>
      <c r="D16" s="21">
        <v>454</v>
      </c>
      <c r="E16" s="21" t="s">
        <v>173</v>
      </c>
      <c r="F16" s="27">
        <f t="shared" si="0"/>
        <v>14.3362775330396</v>
      </c>
      <c r="G16" s="23">
        <v>6508.67</v>
      </c>
      <c r="H16" s="25"/>
    </row>
    <row r="17" spans="1:8">
      <c r="A17" s="18" t="s">
        <v>147</v>
      </c>
      <c r="B17" s="21"/>
      <c r="C17" s="20" t="s">
        <v>329</v>
      </c>
      <c r="D17" s="21">
        <v>312</v>
      </c>
      <c r="E17" s="21" t="s">
        <v>173</v>
      </c>
      <c r="F17" s="27">
        <f t="shared" si="0"/>
        <v>20.7964743589744</v>
      </c>
      <c r="G17" s="23">
        <v>6488.5</v>
      </c>
      <c r="H17" s="25"/>
    </row>
    <row r="18" spans="1:8">
      <c r="A18" s="18" t="s">
        <v>148</v>
      </c>
      <c r="B18" s="21"/>
      <c r="C18" s="20" t="s">
        <v>330</v>
      </c>
      <c r="D18" s="21">
        <v>180</v>
      </c>
      <c r="E18" s="21" t="s">
        <v>135</v>
      </c>
      <c r="F18" s="27">
        <f t="shared" si="0"/>
        <v>3.36283333333333</v>
      </c>
      <c r="G18" s="23">
        <v>605.31</v>
      </c>
      <c r="H18" s="25"/>
    </row>
    <row r="19" spans="1:8">
      <c r="A19" s="18" t="s">
        <v>149</v>
      </c>
      <c r="B19" s="21"/>
      <c r="C19" s="20" t="s">
        <v>331</v>
      </c>
      <c r="D19" s="21">
        <v>114</v>
      </c>
      <c r="E19" s="21" t="s">
        <v>135</v>
      </c>
      <c r="F19" s="27">
        <f t="shared" si="0"/>
        <v>5.39745614035088</v>
      </c>
      <c r="G19" s="23">
        <v>615.31</v>
      </c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40041.59</v>
      </c>
      <c r="D22" s="31"/>
      <c r="E22" s="31"/>
      <c r="F22" s="32" t="s">
        <v>153</v>
      </c>
      <c r="G22" s="33">
        <f>SUM(G8:G21)</f>
        <v>40041.59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332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108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333</v>
      </c>
      <c r="D8" s="21">
        <v>89</v>
      </c>
      <c r="E8" s="21" t="s">
        <v>275</v>
      </c>
      <c r="F8" s="27">
        <f t="shared" ref="F8:F13" si="0">G8/D8</f>
        <v>44.2477528089888</v>
      </c>
      <c r="G8" s="23">
        <v>3938.05</v>
      </c>
      <c r="H8" s="24"/>
    </row>
    <row r="9" spans="1:8">
      <c r="A9" s="18" t="s">
        <v>136</v>
      </c>
      <c r="B9" s="19"/>
      <c r="C9" s="20" t="s">
        <v>334</v>
      </c>
      <c r="D9" s="19">
        <v>113</v>
      </c>
      <c r="E9" s="21" t="s">
        <v>275</v>
      </c>
      <c r="F9" s="27">
        <f t="shared" si="0"/>
        <v>27.4336283185841</v>
      </c>
      <c r="G9" s="23">
        <v>3100</v>
      </c>
      <c r="H9" s="25"/>
    </row>
    <row r="10" spans="1:8">
      <c r="A10" s="18" t="s">
        <v>138</v>
      </c>
      <c r="B10" s="19"/>
      <c r="C10" s="20" t="s">
        <v>335</v>
      </c>
      <c r="D10" s="19">
        <v>45</v>
      </c>
      <c r="E10" s="21" t="s">
        <v>275</v>
      </c>
      <c r="F10" s="27">
        <f t="shared" si="0"/>
        <v>92.9204444444444</v>
      </c>
      <c r="G10" s="23">
        <v>4181.42</v>
      </c>
      <c r="H10" s="25"/>
    </row>
    <row r="11" spans="1:8">
      <c r="A11" s="18" t="s">
        <v>140</v>
      </c>
      <c r="B11" s="21"/>
      <c r="C11" s="20" t="s">
        <v>336</v>
      </c>
      <c r="D11" s="21">
        <v>150</v>
      </c>
      <c r="E11" s="21" t="s">
        <v>192</v>
      </c>
      <c r="F11" s="27">
        <f t="shared" si="0"/>
        <v>5.7522</v>
      </c>
      <c r="G11" s="23">
        <v>862.83</v>
      </c>
      <c r="H11" s="25"/>
    </row>
    <row r="12" spans="1:8">
      <c r="A12" s="18" t="s">
        <v>142</v>
      </c>
      <c r="B12" s="21"/>
      <c r="C12" s="20" t="s">
        <v>337</v>
      </c>
      <c r="D12" s="21">
        <v>300</v>
      </c>
      <c r="E12" s="21" t="s">
        <v>192</v>
      </c>
      <c r="F12" s="27">
        <f t="shared" si="0"/>
        <v>1.50443333333333</v>
      </c>
      <c r="G12" s="23">
        <v>451.33</v>
      </c>
      <c r="H12" s="25"/>
    </row>
    <row r="13" spans="1:8">
      <c r="A13" s="18" t="s">
        <v>143</v>
      </c>
      <c r="B13" s="21"/>
      <c r="C13" s="20" t="s">
        <v>338</v>
      </c>
      <c r="D13" s="21">
        <v>216</v>
      </c>
      <c r="E13" s="21" t="s">
        <v>192</v>
      </c>
      <c r="F13" s="27">
        <f t="shared" si="0"/>
        <v>9.5575</v>
      </c>
      <c r="G13" s="23">
        <v>2064.42</v>
      </c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14598.05</v>
      </c>
      <c r="D22" s="31"/>
      <c r="E22" s="31"/>
      <c r="F22" s="32" t="s">
        <v>153</v>
      </c>
      <c r="G22" s="33">
        <f>SUM(G8:G21)</f>
        <v>14598.05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339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109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340</v>
      </c>
      <c r="D8" s="21">
        <v>67</v>
      </c>
      <c r="E8" s="20" t="s">
        <v>341</v>
      </c>
      <c r="F8" s="27">
        <f>G8/D8</f>
        <v>77.8761194029851</v>
      </c>
      <c r="G8" s="23">
        <v>5217.7</v>
      </c>
      <c r="H8" s="24"/>
    </row>
    <row r="9" spans="1:8">
      <c r="A9" s="18" t="s">
        <v>136</v>
      </c>
      <c r="B9" s="19"/>
      <c r="C9" s="20" t="s">
        <v>342</v>
      </c>
      <c r="D9" s="19">
        <v>17</v>
      </c>
      <c r="E9" s="20" t="s">
        <v>341</v>
      </c>
      <c r="F9" s="27">
        <f>G9/D9</f>
        <v>190.265294117647</v>
      </c>
      <c r="G9" s="23">
        <v>3234.51</v>
      </c>
      <c r="H9" s="25"/>
    </row>
    <row r="10" spans="1:8">
      <c r="A10" s="18" t="s">
        <v>138</v>
      </c>
      <c r="B10" s="19"/>
      <c r="C10" s="20" t="s">
        <v>343</v>
      </c>
      <c r="D10" s="19">
        <v>30</v>
      </c>
      <c r="E10" s="20" t="s">
        <v>341</v>
      </c>
      <c r="F10" s="27">
        <f>G10/D10</f>
        <v>3.53966666666667</v>
      </c>
      <c r="G10" s="23">
        <v>106.19</v>
      </c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8558.4</v>
      </c>
      <c r="D22" s="31"/>
      <c r="E22" s="31"/>
      <c r="F22" s="32" t="s">
        <v>153</v>
      </c>
      <c r="G22" s="33">
        <f>SUM(G8:G21)</f>
        <v>8558.4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344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110</v>
      </c>
      <c r="D5" s="7"/>
      <c r="E5" s="7"/>
      <c r="F5" s="7"/>
      <c r="G5" s="11" t="s">
        <v>124</v>
      </c>
      <c r="H5" s="12">
        <v>45138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345</v>
      </c>
      <c r="D8" s="21">
        <v>0.567</v>
      </c>
      <c r="E8" s="20" t="s">
        <v>259</v>
      </c>
      <c r="F8" s="27">
        <f>G8/D8</f>
        <v>10184.0211640212</v>
      </c>
      <c r="G8" s="23">
        <v>5774.34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5774.34</v>
      </c>
      <c r="D22" s="31"/>
      <c r="E22" s="31"/>
      <c r="F22" s="32" t="s">
        <v>153</v>
      </c>
      <c r="G22" s="33">
        <f>SUM(G8:G21)</f>
        <v>5774.34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22" sqref="C22:E22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346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111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347</v>
      </c>
      <c r="D8" s="21">
        <v>385</v>
      </c>
      <c r="E8" s="20" t="s">
        <v>341</v>
      </c>
      <c r="F8" s="22">
        <v>14.619</v>
      </c>
      <c r="G8" s="23">
        <v>5628.32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5628.32</v>
      </c>
      <c r="D22" s="31"/>
      <c r="E22" s="31"/>
      <c r="F22" s="32" t="s">
        <v>153</v>
      </c>
      <c r="G22" s="33">
        <f>SUM(G8:G21)</f>
        <v>5628.32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2" workbookViewId="0">
      <selection activeCell="C8" sqref="C8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348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112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349</v>
      </c>
      <c r="D8" s="21">
        <v>6.8</v>
      </c>
      <c r="E8" s="20" t="s">
        <v>259</v>
      </c>
      <c r="F8" s="27">
        <f>G8/D8</f>
        <v>11192.0867647059</v>
      </c>
      <c r="G8" s="23">
        <v>76106.19</v>
      </c>
      <c r="H8" s="24"/>
    </row>
    <row r="9" spans="1:8">
      <c r="A9" s="18" t="s">
        <v>136</v>
      </c>
      <c r="B9" s="19"/>
      <c r="C9" s="20" t="s">
        <v>350</v>
      </c>
      <c r="D9" s="19">
        <v>0.75</v>
      </c>
      <c r="E9" s="20" t="s">
        <v>259</v>
      </c>
      <c r="F9" s="27">
        <f>G9/D9</f>
        <v>18879.0533333333</v>
      </c>
      <c r="G9" s="23">
        <v>14159.29</v>
      </c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90265.48</v>
      </c>
      <c r="D22" s="31"/>
      <c r="E22" s="31"/>
      <c r="F22" s="32" t="s">
        <v>153</v>
      </c>
      <c r="G22" s="33">
        <f>SUM(G8:G21)</f>
        <v>90265.48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22" sqref="G22:H22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351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113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352</v>
      </c>
      <c r="D8" s="21">
        <v>28</v>
      </c>
      <c r="E8" s="20" t="s">
        <v>259</v>
      </c>
      <c r="F8" s="27">
        <f>G8/D8</f>
        <v>791.972142857143</v>
      </c>
      <c r="G8" s="23">
        <v>22175.22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22175.22</v>
      </c>
      <c r="D22" s="31"/>
      <c r="E22" s="31"/>
      <c r="F22" s="32" t="s">
        <v>153</v>
      </c>
      <c r="G22" s="33">
        <f>SUM(G8:G21)</f>
        <v>22175.22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5" sqref="C5:F6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353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114</v>
      </c>
      <c r="D5" s="7"/>
      <c r="E5" s="7"/>
      <c r="F5" s="7"/>
      <c r="G5" s="11" t="s">
        <v>124</v>
      </c>
      <c r="H5" s="12">
        <v>45290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354</v>
      </c>
      <c r="D8" s="21">
        <v>1</v>
      </c>
      <c r="E8" s="20" t="s">
        <v>355</v>
      </c>
      <c r="F8" s="27">
        <f>G8/D8</f>
        <v>95145.63</v>
      </c>
      <c r="G8" s="23">
        <v>95145.63</v>
      </c>
      <c r="H8" s="24"/>
    </row>
    <row r="9" spans="1:8">
      <c r="A9" s="18" t="s">
        <v>136</v>
      </c>
      <c r="B9" s="19"/>
      <c r="C9" s="20"/>
      <c r="D9" s="19"/>
      <c r="E9" s="20"/>
      <c r="F9" s="27"/>
      <c r="G9" s="23"/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95145.63</v>
      </c>
      <c r="D22" s="31"/>
      <c r="E22" s="31"/>
      <c r="F22" s="32" t="s">
        <v>153</v>
      </c>
      <c r="G22" s="33">
        <f>SUM(G8:G21)</f>
        <v>95145.63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33" sqref="G33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42" t="s">
        <v>119</v>
      </c>
      <c r="B2" s="42"/>
      <c r="C2" s="42"/>
      <c r="D2" s="42"/>
      <c r="E2" s="42"/>
      <c r="F2" s="42"/>
      <c r="G2" s="42"/>
      <c r="H2" s="42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356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104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ht="12" customHeight="1" spans="1:8">
      <c r="A8" s="18" t="s">
        <v>133</v>
      </c>
      <c r="B8" s="19"/>
      <c r="C8" s="20" t="s">
        <v>357</v>
      </c>
      <c r="D8" s="19">
        <v>3.084</v>
      </c>
      <c r="E8" s="21" t="s">
        <v>259</v>
      </c>
      <c r="F8" s="59">
        <v>3699.12</v>
      </c>
      <c r="G8" s="23">
        <v>11408.07</v>
      </c>
      <c r="H8" s="24"/>
    </row>
    <row r="9" spans="1:8">
      <c r="A9" s="18" t="s">
        <v>136</v>
      </c>
      <c r="B9" s="19"/>
      <c r="C9" s="20" t="s">
        <v>358</v>
      </c>
      <c r="D9" s="19">
        <v>0.834</v>
      </c>
      <c r="E9" s="21" t="s">
        <v>259</v>
      </c>
      <c r="F9" s="59">
        <v>3557.52</v>
      </c>
      <c r="G9" s="23">
        <v>2966.97</v>
      </c>
      <c r="H9" s="25"/>
    </row>
    <row r="10" spans="1:8">
      <c r="A10" s="18" t="s">
        <v>138</v>
      </c>
      <c r="B10" s="19"/>
      <c r="C10" t="s">
        <v>359</v>
      </c>
      <c r="D10" s="19">
        <v>4.379</v>
      </c>
      <c r="E10" s="21" t="s">
        <v>259</v>
      </c>
      <c r="F10" s="59">
        <v>3434.37</v>
      </c>
      <c r="G10" s="23">
        <v>15039.12</v>
      </c>
      <c r="H10" s="25"/>
    </row>
    <row r="11" spans="1:8">
      <c r="A11" s="18" t="s">
        <v>140</v>
      </c>
      <c r="B11" s="21"/>
      <c r="C11" s="20"/>
      <c r="D11" s="21"/>
      <c r="E11" s="21"/>
      <c r="F11" s="59"/>
      <c r="G11" s="23"/>
      <c r="H11" s="25"/>
    </row>
    <row r="12" spans="1:8">
      <c r="A12" s="18" t="s">
        <v>142</v>
      </c>
      <c r="B12" s="21"/>
      <c r="C12" s="20"/>
      <c r="D12" s="21"/>
      <c r="E12" s="21"/>
      <c r="F12" s="59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59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59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59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59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59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59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59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59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59"/>
      <c r="G21" s="23"/>
      <c r="H21" s="25"/>
    </row>
    <row r="22" spans="1:8">
      <c r="A22" s="28" t="s">
        <v>152</v>
      </c>
      <c r="B22" s="29"/>
      <c r="C22" s="30">
        <f>G22</f>
        <v>29414.16</v>
      </c>
      <c r="D22" s="31"/>
      <c r="E22" s="31"/>
      <c r="F22" s="32" t="s">
        <v>153</v>
      </c>
      <c r="G22" s="33">
        <f>SUM(G8:G21)</f>
        <v>29414.16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B1" workbookViewId="0">
      <selection activeCell="F20" sqref="F20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5.3833333333333" customWidth="1"/>
    <col min="4" max="4" width="9.25" customWidth="1"/>
    <col min="5" max="5" width="6.38333333333333" customWidth="1"/>
    <col min="6" max="6" width="12.8833333333333" customWidth="1"/>
    <col min="7" max="7" width="13.5" customWidth="1"/>
    <col min="8" max="8" width="12.6333333333333" customWidth="1"/>
  </cols>
  <sheetData>
    <row r="1" ht="22.5" spans="1:8">
      <c r="A1" s="57" t="s">
        <v>118</v>
      </c>
      <c r="B1" s="57"/>
      <c r="C1" s="57"/>
      <c r="D1" s="57"/>
      <c r="E1" s="57"/>
      <c r="F1" s="57"/>
      <c r="G1" s="57"/>
      <c r="H1" s="57"/>
    </row>
    <row r="2" spans="1:8">
      <c r="A2" s="58" t="s">
        <v>119</v>
      </c>
      <c r="B2" s="58"/>
      <c r="C2" s="58"/>
      <c r="D2" s="58"/>
      <c r="E2" s="58"/>
      <c r="F2" s="58"/>
      <c r="G2" s="58"/>
      <c r="H2" s="58"/>
    </row>
    <row r="3" ht="27" customHeight="1" spans="1:8">
      <c r="A3" s="3" t="s">
        <v>120</v>
      </c>
      <c r="B3" s="3"/>
      <c r="C3" s="3"/>
      <c r="D3" s="3"/>
      <c r="E3" s="3"/>
      <c r="F3" s="3"/>
      <c r="G3" s="4" t="s">
        <v>360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115</v>
      </c>
      <c r="D5" s="7"/>
      <c r="E5" s="7"/>
      <c r="F5" s="7"/>
      <c r="G5" s="11" t="s">
        <v>124</v>
      </c>
      <c r="H5" s="12">
        <v>45602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361</v>
      </c>
      <c r="D8" s="21">
        <v>1000</v>
      </c>
      <c r="E8" s="21" t="s">
        <v>192</v>
      </c>
      <c r="F8" s="27">
        <f>G8/D8</f>
        <v>0.88496</v>
      </c>
      <c r="G8" s="23">
        <v>884.96</v>
      </c>
      <c r="H8" s="24"/>
    </row>
    <row r="9" spans="1:8">
      <c r="A9" s="18" t="s">
        <v>136</v>
      </c>
      <c r="B9" s="19"/>
      <c r="C9" s="20" t="s">
        <v>362</v>
      </c>
      <c r="D9" s="19">
        <v>1202</v>
      </c>
      <c r="E9" s="21" t="s">
        <v>200</v>
      </c>
      <c r="F9" s="27">
        <f>G9/D9</f>
        <v>21.2433527454243</v>
      </c>
      <c r="G9" s="23">
        <v>25534.51</v>
      </c>
      <c r="H9" s="25"/>
    </row>
    <row r="10" spans="1:8">
      <c r="A10" s="18" t="s">
        <v>138</v>
      </c>
      <c r="B10" s="19"/>
      <c r="C10" s="20"/>
      <c r="D10" s="19"/>
      <c r="E10" s="20"/>
      <c r="F10" s="27"/>
      <c r="G10" s="23"/>
      <c r="H10" s="25"/>
    </row>
    <row r="11" spans="1:8">
      <c r="A11" s="18" t="s">
        <v>140</v>
      </c>
      <c r="B11" s="21"/>
      <c r="C11" s="20"/>
      <c r="D11" s="21"/>
      <c r="E11" s="20"/>
      <c r="F11" s="27"/>
      <c r="G11" s="23"/>
      <c r="H11" s="25"/>
    </row>
    <row r="12" spans="1:8">
      <c r="A12" s="18" t="s">
        <v>142</v>
      </c>
      <c r="B12" s="21"/>
      <c r="C12" s="20"/>
      <c r="D12" s="21"/>
      <c r="E12" s="20"/>
      <c r="F12" s="27"/>
      <c r="G12" s="23"/>
      <c r="H12" s="25"/>
    </row>
    <row r="13" spans="1:8">
      <c r="A13" s="18" t="s">
        <v>143</v>
      </c>
      <c r="B13" s="21"/>
      <c r="C13" s="20"/>
      <c r="D13" s="21"/>
      <c r="E13" s="20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18" t="s">
        <v>150</v>
      </c>
      <c r="B20" s="21"/>
      <c r="C20" s="20"/>
      <c r="D20" s="21"/>
      <c r="E20" s="21"/>
      <c r="F20" s="21"/>
      <c r="G20" s="23"/>
      <c r="H20" s="25"/>
    </row>
    <row r="21" spans="1:8">
      <c r="A21" s="18" t="s">
        <v>151</v>
      </c>
      <c r="B21" s="21"/>
      <c r="C21" s="20"/>
      <c r="D21" s="21"/>
      <c r="E21" s="21"/>
      <c r="F21" s="21"/>
      <c r="G21" s="23"/>
      <c r="H21" s="25"/>
    </row>
    <row r="22" spans="1:8">
      <c r="A22" s="28" t="s">
        <v>152</v>
      </c>
      <c r="B22" s="29"/>
      <c r="C22" s="30">
        <f>G22</f>
        <v>26419.47</v>
      </c>
      <c r="D22" s="31"/>
      <c r="E22" s="31"/>
      <c r="F22" s="32" t="s">
        <v>153</v>
      </c>
      <c r="G22" s="33">
        <f>SUM(G8:G21)</f>
        <v>26419.47</v>
      </c>
      <c r="H22" s="34"/>
    </row>
    <row r="23" ht="23" customHeight="1" spans="1:8">
      <c r="A23" s="35" t="s">
        <v>154</v>
      </c>
      <c r="B23" s="36"/>
      <c r="C23" s="37"/>
      <c r="D23" s="38"/>
      <c r="E23" s="38"/>
      <c r="F23" s="39"/>
      <c r="G23" s="40" t="s">
        <v>155</v>
      </c>
      <c r="H23" s="41"/>
    </row>
  </sheetData>
  <mergeCells count="13">
    <mergeCell ref="A1:H1"/>
    <mergeCell ref="A2:H2"/>
    <mergeCell ref="A3:F3"/>
    <mergeCell ref="G3:H3"/>
    <mergeCell ref="A4:B4"/>
    <mergeCell ref="C4:F4"/>
    <mergeCell ref="C22:E22"/>
    <mergeCell ref="G22:H22"/>
    <mergeCell ref="A23:B23"/>
    <mergeCell ref="C23:F23"/>
    <mergeCell ref="G23:H23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6111111111111" right="0.156944444444444" top="0.196527777777778" bottom="0.393055555555556" header="0.156944444444444" footer="0.0784722222222222"/>
  <pageSetup paperSize="256" orientation="portrait" horizontalDpi="6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H18"/>
  <sheetViews>
    <sheetView workbookViewId="0">
      <selection activeCell="G13" sqref="G13"/>
    </sheetView>
  </sheetViews>
  <sheetFormatPr defaultColWidth="9.64166666666667" defaultRowHeight="13.5" outlineLevelCol="7"/>
  <cols>
    <col min="1" max="1" width="7.13333333333333" customWidth="1"/>
    <col min="2" max="2" width="12.1333333333333" customWidth="1"/>
    <col min="3" max="3" width="26.6333333333333" customWidth="1"/>
    <col min="4" max="4" width="10.25" customWidth="1"/>
    <col min="5" max="5" width="6" customWidth="1"/>
    <col min="6" max="6" width="11" customWidth="1"/>
    <col min="7" max="7" width="14.5" customWidth="1"/>
    <col min="8" max="8" width="13.1333333333333" customWidth="1"/>
  </cols>
  <sheetData>
    <row r="1" ht="22.5" spans="1:8">
      <c r="A1" s="1" t="s">
        <v>156</v>
      </c>
      <c r="B1" s="1"/>
      <c r="C1" s="1"/>
      <c r="D1" s="1"/>
      <c r="E1" s="1"/>
      <c r="F1" s="1"/>
      <c r="G1" s="1"/>
      <c r="H1" s="1"/>
    </row>
    <row r="2" spans="1:8">
      <c r="A2" s="42" t="s">
        <v>157</v>
      </c>
      <c r="B2" s="42"/>
      <c r="C2" s="42"/>
      <c r="D2" s="42"/>
      <c r="E2" s="42"/>
      <c r="F2" s="42"/>
      <c r="G2" s="42"/>
      <c r="H2" s="42"/>
    </row>
    <row r="3" ht="20.25" spans="1:8">
      <c r="A3" s="3" t="s">
        <v>158</v>
      </c>
      <c r="B3" s="3"/>
      <c r="C3" s="3"/>
      <c r="D3" s="3"/>
      <c r="E3" s="3"/>
      <c r="F3" s="3"/>
      <c r="G3" s="43" t="s">
        <v>363</v>
      </c>
      <c r="H3" s="44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116</v>
      </c>
      <c r="D5" s="7"/>
      <c r="E5" s="7"/>
      <c r="F5" s="7"/>
      <c r="G5" s="11" t="s">
        <v>124</v>
      </c>
      <c r="H5" s="12">
        <f ca="1">TODAY()</f>
        <v>46205</v>
      </c>
    </row>
    <row r="6" ht="14.25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45" t="s">
        <v>133</v>
      </c>
      <c r="B8" s="46"/>
      <c r="C8" s="47" t="s">
        <v>364</v>
      </c>
      <c r="D8" s="19" t="s">
        <v>365</v>
      </c>
      <c r="E8" s="48" t="s">
        <v>135</v>
      </c>
      <c r="F8" s="21"/>
      <c r="G8" s="23">
        <v>10769.01</v>
      </c>
      <c r="H8" s="49"/>
    </row>
    <row r="9" spans="1:8">
      <c r="A9" s="45" t="s">
        <v>136</v>
      </c>
      <c r="B9" s="46"/>
      <c r="C9" s="47"/>
      <c r="D9" s="19"/>
      <c r="E9" s="48"/>
      <c r="F9" s="21"/>
      <c r="G9" s="23"/>
      <c r="H9" s="49"/>
    </row>
    <row r="10" spans="1:8">
      <c r="A10" s="45" t="s">
        <v>138</v>
      </c>
      <c r="B10" s="46"/>
      <c r="C10" s="47"/>
      <c r="D10" s="19"/>
      <c r="E10" s="48"/>
      <c r="F10" s="21"/>
      <c r="G10" s="23"/>
      <c r="H10" s="49"/>
    </row>
    <row r="11" spans="1:8">
      <c r="A11" s="45" t="s">
        <v>140</v>
      </c>
      <c r="B11" s="46"/>
      <c r="C11" s="47"/>
      <c r="D11" s="19"/>
      <c r="E11" s="48"/>
      <c r="F11" s="21"/>
      <c r="G11" s="23"/>
      <c r="H11" s="49"/>
    </row>
    <row r="12" spans="1:8">
      <c r="A12" s="45" t="s">
        <v>142</v>
      </c>
      <c r="B12" s="46"/>
      <c r="C12" s="47"/>
      <c r="D12" s="19"/>
      <c r="E12" s="48"/>
      <c r="F12" s="21"/>
      <c r="G12" s="23"/>
      <c r="H12" s="49"/>
    </row>
    <row r="13" spans="1:8">
      <c r="A13" s="45" t="s">
        <v>143</v>
      </c>
      <c r="B13" s="46"/>
      <c r="C13" s="47"/>
      <c r="D13" s="19"/>
      <c r="E13" s="48"/>
      <c r="F13" s="21"/>
      <c r="G13" s="23"/>
      <c r="H13" s="49"/>
    </row>
    <row r="14" spans="1:8">
      <c r="A14" s="45" t="s">
        <v>144</v>
      </c>
      <c r="B14" s="46"/>
      <c r="C14" s="47"/>
      <c r="D14" s="19"/>
      <c r="E14" s="48"/>
      <c r="F14" s="21"/>
      <c r="G14" s="23"/>
      <c r="H14" s="49"/>
    </row>
    <row r="15" spans="1:8">
      <c r="A15" s="45" t="s">
        <v>145</v>
      </c>
      <c r="B15" s="46"/>
      <c r="C15" s="47"/>
      <c r="D15" s="19"/>
      <c r="E15" s="48"/>
      <c r="F15" s="21"/>
      <c r="G15" s="23"/>
      <c r="H15" s="49"/>
    </row>
    <row r="16" spans="1:8">
      <c r="A16" s="45" t="s">
        <v>146</v>
      </c>
      <c r="B16" s="46"/>
      <c r="C16" s="47"/>
      <c r="D16" s="19"/>
      <c r="E16" s="48"/>
      <c r="F16" s="21"/>
      <c r="G16" s="23"/>
      <c r="H16" s="49"/>
    </row>
    <row r="17" ht="14.25" spans="1:8">
      <c r="A17" s="50" t="s">
        <v>152</v>
      </c>
      <c r="B17" s="51"/>
      <c r="C17" s="52">
        <f>G17</f>
        <v>10769.01</v>
      </c>
      <c r="D17" s="53"/>
      <c r="E17" s="53"/>
      <c r="F17" s="54" t="s">
        <v>153</v>
      </c>
      <c r="G17" s="55">
        <f>SUM(G8:G16)</f>
        <v>10769.01</v>
      </c>
      <c r="H17" s="56"/>
    </row>
    <row r="18" ht="23" customHeight="1" spans="1:8">
      <c r="A18" s="35" t="s">
        <v>154</v>
      </c>
      <c r="B18" s="36"/>
      <c r="C18" s="37"/>
      <c r="D18" s="38"/>
      <c r="E18" s="38"/>
      <c r="F18" s="39"/>
      <c r="G18" s="40" t="s">
        <v>160</v>
      </c>
      <c r="H18" s="41"/>
    </row>
  </sheetData>
  <autoFilter xmlns:etc="http://www.wps.cn/officeDocument/2017/etCustomData" ref="A7:H18" etc:filterBottomFollowUsedRange="0">
    <extLst/>
  </autoFilter>
  <mergeCells count="13">
    <mergeCell ref="A1:H1"/>
    <mergeCell ref="A2:H2"/>
    <mergeCell ref="A3:F3"/>
    <mergeCell ref="G3:H3"/>
    <mergeCell ref="A4:B4"/>
    <mergeCell ref="C4:F4"/>
    <mergeCell ref="C17:E17"/>
    <mergeCell ref="G17:H17"/>
    <mergeCell ref="A18:B18"/>
    <mergeCell ref="C18:F18"/>
    <mergeCell ref="G18:H18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type="list" allowBlank="1" showInputMessage="1" showErrorMessage="1" sqref="C5:F6">
      <formula1>基础信息!$B$2:$B$71</formula1>
    </dataValidation>
  </dataValidations>
  <pageMargins left="0.235416666666667" right="0.15625" top="0.196527777777778" bottom="0.354166666666667" header="0.15625" footer="0.0777777777777778"/>
  <pageSetup paperSize="256" orientation="portrait" horizontalDpi="600"/>
  <headerFooter>
    <oddFooter>&amp;C&amp;8第 &amp;P 页，共 &amp;N 页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10" sqref="G10"/>
    </sheetView>
  </sheetViews>
  <sheetFormatPr defaultColWidth="9.64166666666667" defaultRowHeight="13.5" outlineLevelCol="7"/>
  <cols>
    <col min="1" max="1" width="7.13333333333333" customWidth="1"/>
    <col min="2" max="2" width="7.775" customWidth="1"/>
    <col min="3" max="3" width="22" customWidth="1"/>
    <col min="4" max="4" width="7.66666666666667" customWidth="1"/>
    <col min="5" max="5" width="4.89166666666667" customWidth="1"/>
    <col min="6" max="6" width="10.6666666666667" customWidth="1"/>
    <col min="7" max="7" width="13.5" customWidth="1"/>
    <col min="8" max="8" width="12.6333333333333" customWidth="1"/>
  </cols>
  <sheetData>
    <row r="1" ht="21" customHeight="1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2" t="s">
        <v>366</v>
      </c>
      <c r="B2" s="2"/>
      <c r="C2" s="2"/>
      <c r="D2" s="2"/>
      <c r="E2" s="2"/>
      <c r="F2" s="2"/>
      <c r="G2" s="2"/>
      <c r="H2" s="2"/>
    </row>
    <row r="3" ht="25" customHeight="1" spans="1:8">
      <c r="A3" s="3" t="s">
        <v>367</v>
      </c>
      <c r="B3" s="3"/>
      <c r="C3" s="3"/>
      <c r="D3" s="3"/>
      <c r="E3" s="3"/>
      <c r="F3" s="3"/>
      <c r="G3" s="4" t="s">
        <v>368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102</v>
      </c>
      <c r="D5" s="7"/>
      <c r="E5" s="7"/>
      <c r="F5" s="7"/>
      <c r="G5" s="11" t="s">
        <v>124</v>
      </c>
      <c r="H5" s="12">
        <f ca="1">TODAY()</f>
        <v>46205</v>
      </c>
    </row>
    <row r="6" ht="9" customHeight="1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369</v>
      </c>
      <c r="D8" s="19">
        <v>1</v>
      </c>
      <c r="E8" s="21" t="s">
        <v>299</v>
      </c>
      <c r="F8" s="22">
        <v>84070.7964</v>
      </c>
      <c r="G8" s="23">
        <v>84070.8</v>
      </c>
      <c r="H8" s="24"/>
    </row>
    <row r="9" spans="1:8">
      <c r="A9" s="18" t="s">
        <v>136</v>
      </c>
      <c r="B9" s="19"/>
      <c r="C9" s="20"/>
      <c r="D9" s="19"/>
      <c r="E9" s="21"/>
      <c r="F9" s="22"/>
      <c r="G9" s="23"/>
      <c r="H9" s="25"/>
    </row>
    <row r="10" spans="1:8">
      <c r="A10" s="18" t="s">
        <v>138</v>
      </c>
      <c r="B10" s="19"/>
      <c r="C10" s="26"/>
      <c r="D10" s="19"/>
      <c r="E10" s="21"/>
      <c r="F10" s="22"/>
      <c r="G10" s="23"/>
      <c r="H10" s="25"/>
    </row>
    <row r="11" spans="1:8">
      <c r="A11" s="18" t="s">
        <v>140</v>
      </c>
      <c r="B11" s="21"/>
      <c r="C11" s="20"/>
      <c r="D11" s="21"/>
      <c r="E11" s="21"/>
      <c r="F11" s="22"/>
      <c r="G11" s="23"/>
      <c r="H11" s="25"/>
    </row>
    <row r="12" spans="1:8">
      <c r="A12" s="18" t="s">
        <v>142</v>
      </c>
      <c r="B12" s="21"/>
      <c r="C12" s="20"/>
      <c r="D12" s="21"/>
      <c r="E12" s="21"/>
      <c r="F12" s="22"/>
      <c r="G12" s="23"/>
      <c r="H12" s="25"/>
    </row>
    <row r="13" spans="1:8">
      <c r="A13" s="18" t="s">
        <v>143</v>
      </c>
      <c r="B13" s="21"/>
      <c r="C13" s="20"/>
      <c r="D13" s="21"/>
      <c r="E13" s="21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28" t="s">
        <v>152</v>
      </c>
      <c r="B20" s="29"/>
      <c r="C20" s="30">
        <f>G20</f>
        <v>84070.8</v>
      </c>
      <c r="D20" s="31"/>
      <c r="E20" s="31"/>
      <c r="F20" s="32" t="s">
        <v>153</v>
      </c>
      <c r="G20" s="33">
        <f>SUM(G8:G13)</f>
        <v>84070.8</v>
      </c>
      <c r="H20" s="34"/>
    </row>
    <row r="21" ht="18" customHeight="1" spans="1:8">
      <c r="A21" s="35" t="s">
        <v>154</v>
      </c>
      <c r="B21" s="36"/>
      <c r="C21" s="37"/>
      <c r="D21" s="38"/>
      <c r="E21" s="38"/>
      <c r="F21" s="39"/>
      <c r="G21" s="40" t="s">
        <v>155</v>
      </c>
      <c r="H21" s="41"/>
    </row>
  </sheetData>
  <mergeCells count="13">
    <mergeCell ref="A1:H1"/>
    <mergeCell ref="A2:H2"/>
    <mergeCell ref="A3:F3"/>
    <mergeCell ref="G3:H3"/>
    <mergeCell ref="A4:B4"/>
    <mergeCell ref="C4:F4"/>
    <mergeCell ref="C20:E20"/>
    <mergeCell ref="G20:H20"/>
    <mergeCell ref="A21:B21"/>
    <mergeCell ref="C21:F21"/>
    <mergeCell ref="G21:H21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allowBlank="1" showInputMessage="1" showErrorMessage="1" sqref="C5:F6"/>
  </dataValidations>
  <pageMargins left="0.75" right="0.75" top="0.275" bottom="5" header="0.66875" footer="3.77916666666667"/>
  <pageSetup paperSize="9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0" sqref="F10"/>
    </sheetView>
  </sheetViews>
  <sheetFormatPr defaultColWidth="9.64166666666667" defaultRowHeight="13.5" outlineLevelCol="7"/>
  <cols>
    <col min="1" max="1" width="7.13333333333333" customWidth="1"/>
    <col min="2" max="2" width="7.775" customWidth="1"/>
    <col min="3" max="3" width="22" customWidth="1"/>
    <col min="4" max="4" width="7.66666666666667" customWidth="1"/>
    <col min="5" max="5" width="4.89166666666667" customWidth="1"/>
    <col min="6" max="6" width="10.6666666666667" customWidth="1"/>
    <col min="7" max="7" width="13.5" customWidth="1"/>
    <col min="8" max="8" width="12.6333333333333" customWidth="1"/>
  </cols>
  <sheetData>
    <row r="1" ht="21" customHeight="1" spans="1:8">
      <c r="A1" s="1" t="s">
        <v>118</v>
      </c>
      <c r="B1" s="1"/>
      <c r="C1" s="1"/>
      <c r="D1" s="1"/>
      <c r="E1" s="1"/>
      <c r="F1" s="1"/>
      <c r="G1" s="1"/>
      <c r="H1" s="1"/>
    </row>
    <row r="2" spans="1:8">
      <c r="A2" s="2" t="s">
        <v>366</v>
      </c>
      <c r="B2" s="2"/>
      <c r="C2" s="2"/>
      <c r="D2" s="2"/>
      <c r="E2" s="2"/>
      <c r="F2" s="2"/>
      <c r="G2" s="2"/>
      <c r="H2" s="2"/>
    </row>
    <row r="3" ht="25" customHeight="1" spans="1:8">
      <c r="A3" s="3" t="s">
        <v>367</v>
      </c>
      <c r="B3" s="3"/>
      <c r="C3" s="3"/>
      <c r="D3" s="3"/>
      <c r="E3" s="3"/>
      <c r="F3" s="3"/>
      <c r="G3" s="4" t="s">
        <v>370</v>
      </c>
      <c r="H3" s="5"/>
    </row>
    <row r="4" spans="1:8">
      <c r="A4" s="6"/>
      <c r="B4" s="6"/>
      <c r="C4" s="7"/>
      <c r="D4" s="7"/>
      <c r="E4" s="7"/>
      <c r="F4" s="7"/>
      <c r="G4" s="8" t="s">
        <v>122</v>
      </c>
      <c r="H4" s="9" t="s">
        <v>2</v>
      </c>
    </row>
    <row r="5" spans="1:8">
      <c r="A5" s="10" t="s">
        <v>123</v>
      </c>
      <c r="B5" s="10"/>
      <c r="C5" s="7" t="s">
        <v>117</v>
      </c>
      <c r="D5" s="7"/>
      <c r="E5" s="7"/>
      <c r="F5" s="7"/>
      <c r="G5" s="11" t="s">
        <v>124</v>
      </c>
      <c r="H5" s="12">
        <v>46203</v>
      </c>
    </row>
    <row r="6" ht="9" customHeight="1" spans="1:8">
      <c r="A6" s="10"/>
      <c r="B6" s="10"/>
      <c r="C6" s="7"/>
      <c r="D6" s="7"/>
      <c r="E6" s="7"/>
      <c r="F6" s="7"/>
      <c r="G6" s="13"/>
      <c r="H6" s="14"/>
    </row>
    <row r="7" spans="1:8">
      <c r="A7" s="15" t="s">
        <v>125</v>
      </c>
      <c r="B7" s="16" t="s">
        <v>126</v>
      </c>
      <c r="C7" s="16" t="s">
        <v>127</v>
      </c>
      <c r="D7" s="16" t="s">
        <v>128</v>
      </c>
      <c r="E7" s="16" t="s">
        <v>129</v>
      </c>
      <c r="F7" s="16" t="s">
        <v>130</v>
      </c>
      <c r="G7" s="16" t="s">
        <v>131</v>
      </c>
      <c r="H7" s="17" t="s">
        <v>132</v>
      </c>
    </row>
    <row r="8" spans="1:8">
      <c r="A8" s="18" t="s">
        <v>133</v>
      </c>
      <c r="B8" s="19"/>
      <c r="C8" s="20" t="s">
        <v>371</v>
      </c>
      <c r="D8" s="19">
        <v>215</v>
      </c>
      <c r="E8" s="21" t="s">
        <v>200</v>
      </c>
      <c r="F8" s="22">
        <f>G8/D8</f>
        <v>26.4252093023256</v>
      </c>
      <c r="G8" s="23">
        <v>5681.42</v>
      </c>
      <c r="H8" s="24"/>
    </row>
    <row r="9" spans="1:8">
      <c r="A9" s="18" t="s">
        <v>136</v>
      </c>
      <c r="B9" s="19"/>
      <c r="C9" s="20"/>
      <c r="D9" s="19"/>
      <c r="E9" s="21"/>
      <c r="F9" s="22"/>
      <c r="G9" s="23"/>
      <c r="H9" s="25"/>
    </row>
    <row r="10" spans="1:8">
      <c r="A10" s="18" t="s">
        <v>138</v>
      </c>
      <c r="B10" s="19"/>
      <c r="C10" s="26"/>
      <c r="D10" s="19"/>
      <c r="E10" s="21"/>
      <c r="F10" s="22"/>
      <c r="G10" s="23"/>
      <c r="H10" s="25"/>
    </row>
    <row r="11" spans="1:8">
      <c r="A11" s="18" t="s">
        <v>140</v>
      </c>
      <c r="B11" s="21"/>
      <c r="C11" s="20"/>
      <c r="D11" s="21"/>
      <c r="E11" s="21"/>
      <c r="F11" s="22"/>
      <c r="G11" s="23"/>
      <c r="H11" s="25"/>
    </row>
    <row r="12" spans="1:8">
      <c r="A12" s="18" t="s">
        <v>142</v>
      </c>
      <c r="B12" s="21"/>
      <c r="C12" s="20"/>
      <c r="D12" s="21"/>
      <c r="E12" s="21"/>
      <c r="F12" s="22"/>
      <c r="G12" s="23"/>
      <c r="H12" s="25"/>
    </row>
    <row r="13" spans="1:8">
      <c r="A13" s="18" t="s">
        <v>143</v>
      </c>
      <c r="B13" s="21"/>
      <c r="C13" s="20"/>
      <c r="D13" s="21"/>
      <c r="E13" s="21"/>
      <c r="F13" s="27"/>
      <c r="G13" s="23"/>
      <c r="H13" s="25"/>
    </row>
    <row r="14" spans="1:8">
      <c r="A14" s="18" t="s">
        <v>144</v>
      </c>
      <c r="B14" s="21"/>
      <c r="C14" s="20"/>
      <c r="D14" s="21"/>
      <c r="E14" s="20"/>
      <c r="F14" s="27"/>
      <c r="G14" s="23"/>
      <c r="H14" s="25"/>
    </row>
    <row r="15" spans="1:8">
      <c r="A15" s="18" t="s">
        <v>145</v>
      </c>
      <c r="B15" s="21"/>
      <c r="C15" s="20"/>
      <c r="D15" s="21"/>
      <c r="E15" s="20"/>
      <c r="F15" s="27"/>
      <c r="G15" s="23"/>
      <c r="H15" s="25"/>
    </row>
    <row r="16" spans="1:8">
      <c r="A16" s="18" t="s">
        <v>146</v>
      </c>
      <c r="B16" s="21"/>
      <c r="C16" s="20"/>
      <c r="D16" s="21"/>
      <c r="E16" s="20"/>
      <c r="F16" s="27"/>
      <c r="G16" s="23"/>
      <c r="H16" s="25"/>
    </row>
    <row r="17" spans="1:8">
      <c r="A17" s="18" t="s">
        <v>147</v>
      </c>
      <c r="B17" s="21"/>
      <c r="C17" s="20"/>
      <c r="D17" s="21"/>
      <c r="E17" s="20"/>
      <c r="F17" s="27"/>
      <c r="G17" s="23"/>
      <c r="H17" s="25"/>
    </row>
    <row r="18" spans="1:8">
      <c r="A18" s="18" t="s">
        <v>148</v>
      </c>
      <c r="B18" s="21"/>
      <c r="C18" s="20"/>
      <c r="D18" s="21"/>
      <c r="E18" s="20"/>
      <c r="F18" s="27"/>
      <c r="G18" s="23"/>
      <c r="H18" s="25"/>
    </row>
    <row r="19" spans="1:8">
      <c r="A19" s="18" t="s">
        <v>149</v>
      </c>
      <c r="B19" s="21"/>
      <c r="C19" s="20"/>
      <c r="D19" s="21"/>
      <c r="E19" s="20"/>
      <c r="F19" s="27"/>
      <c r="G19" s="23"/>
      <c r="H19" s="25"/>
    </row>
    <row r="20" spans="1:8">
      <c r="A20" s="28" t="s">
        <v>152</v>
      </c>
      <c r="B20" s="29"/>
      <c r="C20" s="30">
        <f>G20</f>
        <v>5681.42</v>
      </c>
      <c r="D20" s="31"/>
      <c r="E20" s="31"/>
      <c r="F20" s="32" t="s">
        <v>153</v>
      </c>
      <c r="G20" s="33">
        <f>SUM(G8:G13)</f>
        <v>5681.42</v>
      </c>
      <c r="H20" s="34"/>
    </row>
    <row r="21" ht="18" customHeight="1" spans="1:8">
      <c r="A21" s="35" t="s">
        <v>154</v>
      </c>
      <c r="B21" s="36"/>
      <c r="C21" s="37"/>
      <c r="D21" s="38"/>
      <c r="E21" s="38"/>
      <c r="F21" s="39"/>
      <c r="G21" s="40" t="s">
        <v>155</v>
      </c>
      <c r="H21" s="41"/>
    </row>
  </sheetData>
  <mergeCells count="13">
    <mergeCell ref="A1:H1"/>
    <mergeCell ref="A2:H2"/>
    <mergeCell ref="A3:F3"/>
    <mergeCell ref="G3:H3"/>
    <mergeCell ref="A4:B4"/>
    <mergeCell ref="C4:F4"/>
    <mergeCell ref="C20:E20"/>
    <mergeCell ref="G20:H20"/>
    <mergeCell ref="A21:B21"/>
    <mergeCell ref="C21:F21"/>
    <mergeCell ref="G21:H21"/>
    <mergeCell ref="A5:B6"/>
    <mergeCell ref="C5:F6"/>
  </mergeCells>
  <dataValidations count="2">
    <dataValidation type="list" allowBlank="1" showInputMessage="1" showErrorMessage="1" sqref="H4">
      <formula1>基础信息!$A$2:$A$11</formula1>
    </dataValidation>
    <dataValidation allowBlank="1" showInputMessage="1" showErrorMessage="1" sqref="C5:F6"/>
  </dataValidations>
  <pageMargins left="0.75" right="0.75" top="0.275" bottom="5" header="0.66875" footer="3.779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基础信息</vt:lpstr>
      <vt:lpstr>验收单打印模板（新都）</vt:lpstr>
      <vt:lpstr>验收单打印模板（常胜）</vt:lpstr>
      <vt:lpstr>验收单打印模板（博能）</vt:lpstr>
      <vt:lpstr>验收单打印模板（烟台）</vt:lpstr>
      <vt:lpstr>验收单打印模板（海溪)</vt:lpstr>
      <vt:lpstr>验收单打印模板（成明)</vt:lpstr>
      <vt:lpstr>验收单打印模板（方惠)</vt:lpstr>
      <vt:lpstr>验收单打印模板（奕赟)</vt:lpstr>
      <vt:lpstr>验收单打印模板（千和)</vt:lpstr>
      <vt:lpstr>验收单打印模板（维斯科)</vt:lpstr>
      <vt:lpstr>验收单打印模板（顺昌)</vt:lpstr>
      <vt:lpstr>验收单打印模板（铜陵)</vt:lpstr>
      <vt:lpstr>验收单打印模板（亿鸣)</vt:lpstr>
      <vt:lpstr>验收单打印模板（森兴)</vt:lpstr>
      <vt:lpstr>验收单打印模板（杰亚特)</vt:lpstr>
      <vt:lpstr>验收单打印模板(双明）</vt:lpstr>
      <vt:lpstr>验收单打印模板（振歌)</vt:lpstr>
      <vt:lpstr>验收单打印模板（群力)</vt:lpstr>
      <vt:lpstr>验收单打印模板（神州)</vt:lpstr>
      <vt:lpstr>验收单打印模板（常达)</vt:lpstr>
      <vt:lpstr>验收单打印模板（快克)</vt:lpstr>
      <vt:lpstr>验收单打印模板（盛春)</vt:lpstr>
      <vt:lpstr>验收单打印模板（日顺爱邦)</vt:lpstr>
      <vt:lpstr>验收单打印模板（中炜)</vt:lpstr>
      <vt:lpstr>验收单打印模板（诗嘉模具)</vt:lpstr>
      <vt:lpstr>验收单打印模板（洛阳精湛)</vt:lpstr>
      <vt:lpstr>验收单打印模板（红旗)</vt:lpstr>
      <vt:lpstr>验收单打印模板（靖城弘帆)</vt:lpstr>
      <vt:lpstr>验收单打印模板（蓝腾机械)</vt:lpstr>
      <vt:lpstr>验收单打印模板（塑锋)</vt:lpstr>
      <vt:lpstr>验收单打印模板（洛阳塑奥)</vt:lpstr>
      <vt:lpstr>验收单打印模板（圣威朗)</vt:lpstr>
      <vt:lpstr>验收单打印模板（新信)</vt:lpstr>
      <vt:lpstr>验收单打印模板（震坤行)</vt:lpstr>
      <vt:lpstr>验收单打印模板（洛阳杰奥)</vt:lpstr>
      <vt:lpstr>验收单打印模板（桥博钢贸)</vt:lpstr>
      <vt:lpstr>验收单打印模板（洛阳梦非） (3)</vt:lpstr>
      <vt:lpstr>验收单打印模板（宏叶铝塑)</vt:lpstr>
      <vt:lpstr>验收单打印模板（亚华塑胶)</vt:lpstr>
      <vt:lpstr>验收单打印模板（丰锦硕五金)</vt:lpstr>
      <vt:lpstr>验收单打印模板（东桥明风)</vt:lpstr>
      <vt:lpstr>验收单打印模板（山北)</vt:lpstr>
      <vt:lpstr>验收单打印模板（迅塑)</vt:lpstr>
      <vt:lpstr>验收单打印模板（名铝)</vt:lpstr>
      <vt:lpstr>验收单打印模板（华士亿源)</vt:lpstr>
      <vt:lpstr>验收单打印模板（顺立)</vt:lpstr>
      <vt:lpstr>验收单打印模板（恒青盛)</vt:lpstr>
      <vt:lpstr>验收单打印模板（德奔)</vt:lpstr>
      <vt:lpstr>验收单打印模板（纯正)</vt:lpstr>
      <vt:lpstr>验收单打印模板（美利坚)</vt:lpstr>
      <vt:lpstr>验收单打印模板（仁公义)</vt:lpstr>
      <vt:lpstr>验收单打印模板（子航)</vt:lpstr>
      <vt:lpstr>验收单打印模板（祥汇昌)</vt:lpstr>
      <vt:lpstr>验收单打印模板（恒麒发)</vt:lpstr>
      <vt:lpstr>验收单打印模板（威力达利)</vt:lpstr>
      <vt:lpstr>验收单打印模板（浦邦）</vt:lpstr>
      <vt:lpstr>验收单打印模板（苏州恒发)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HL620</dc:creator>
  <cp:lastModifiedBy>郑雅婷 Tiya</cp:lastModifiedBy>
  <dcterms:created xsi:type="dcterms:W3CDTF">2020-03-26T05:40:00Z</dcterms:created>
  <dcterms:modified xsi:type="dcterms:W3CDTF">2026-07-02T08:34:52Z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4B55D164712146058947D48E2187E083</vt:lpwstr>
  </property>
  <property fmtid="{D5CDD505-2E9C-101B-9397-08002B2CF9AE}" pid="4" name="CalculationRule">
    <vt:i4>0</vt:i4>
  </property>
</Properties>
</file>